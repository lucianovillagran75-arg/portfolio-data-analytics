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_Datos" sheetId="1" state="visible" r:id="rId3"/>
    <sheet name="Análisis" sheetId="2" state="visible" r:id="rId4"/>
    <sheet name="Alertas" sheetId="3" state="visible" r:id="rId5"/>
    <sheet name="Dashboard" sheetId="4" state="visible" r:id="rId6"/>
  </sheets>
  <definedNames>
    <definedName function="false" hidden="true" localSheetId="1" name="_xlnm._FilterDatabase" vbProcedure="false">Análisis!$A$4:$P$79</definedName>
    <definedName function="false" hidden="true" localSheetId="0" name="_xlnm._FilterDatabase" vbProcedure="false">Base_Datos!$A$4:$S$82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<sst xmlns="http://schemas.openxmlformats.org/spreadsheetml/2006/main" count="611" uniqueCount="370">
  <si>
    <t xml:space="preserve">SISTEMA DE CONTROL DE INVENTARIO — DISTRIBUIDORA FMCG</t>
  </si>
  <si>
    <t xml:space="preserve">Base de Datos · 75 SKUs · Categorías: Alimentos Secos / Limpieza del Hogar / Higiene Personal · Período: Ene–Jun 2025</t>
  </si>
  <si>
    <t xml:space="preserve">SKU ID</t>
  </si>
  <si>
    <t xml:space="preserve">Descripción</t>
  </si>
  <si>
    <t xml:space="preserve">Categoría</t>
  </si>
  <si>
    <t xml:space="preserve">Cód. Proveedor</t>
  </si>
  <si>
    <t xml:space="preserve">Proveedor</t>
  </si>
  <si>
    <t xml:space="preserve">Precio Costo
(USD)</t>
  </si>
  <si>
    <t xml:space="preserve">Stock
Actual</t>
  </si>
  <si>
    <t xml:space="preserve">Stock
Mínimo</t>
  </si>
  <si>
    <t xml:space="preserve">Ventas
Ene-25</t>
  </si>
  <si>
    <t xml:space="preserve">Ventas
Feb-25</t>
  </si>
  <si>
    <t xml:space="preserve">Ventas
Mar-25</t>
  </si>
  <si>
    <t xml:space="preserve">Ventas
Abr-25</t>
  </si>
  <si>
    <t xml:space="preserve">Ventas
May-25</t>
  </si>
  <si>
    <t xml:space="preserve">Ventas
Jun-25</t>
  </si>
  <si>
    <t xml:space="preserve">Total Ventas
6 meses</t>
  </si>
  <si>
    <t xml:space="preserve">Venta Prom.
Mensual</t>
  </si>
  <si>
    <t xml:space="preserve">Últ. Movimiento</t>
  </si>
  <si>
    <t xml:space="preserve">Días sin
Movimiento</t>
  </si>
  <si>
    <t xml:space="preserve">Capital
Inmovilizado (USD)</t>
  </si>
  <si>
    <t xml:space="preserve">  ALIMENTOS SECOS</t>
  </si>
  <si>
    <t xml:space="preserve">SKU-001</t>
  </si>
  <si>
    <t xml:space="preserve">Arroz Largo Fino 1kg</t>
  </si>
  <si>
    <t xml:space="preserve">Alimentos Secos</t>
  </si>
  <si>
    <t xml:space="preserve">PRV-001</t>
  </si>
  <si>
    <t xml:space="preserve">Arrocera del Sur S.A.</t>
  </si>
  <si>
    <t xml:space="preserve">SKU-002</t>
  </si>
  <si>
    <t xml:space="preserve">Arroz Largo Fino 5kg</t>
  </si>
  <si>
    <t xml:space="preserve">SKU-003</t>
  </si>
  <si>
    <t xml:space="preserve">Fideos Spaghetti 500g</t>
  </si>
  <si>
    <t xml:space="preserve">PRV-002</t>
  </si>
  <si>
    <t xml:space="preserve">Molinos Río de la Plata</t>
  </si>
  <si>
    <t xml:space="preserve">SKU-004</t>
  </si>
  <si>
    <t xml:space="preserve">Fideos Moño 500g</t>
  </si>
  <si>
    <t xml:space="preserve">SKU-005</t>
  </si>
  <si>
    <t xml:space="preserve">Harina 000 1kg</t>
  </si>
  <si>
    <t xml:space="preserve">PRV-003</t>
  </si>
  <si>
    <t xml:space="preserve">Molinera Central S.R.L.</t>
  </si>
  <si>
    <t xml:space="preserve">SKU-006</t>
  </si>
  <si>
    <t xml:space="preserve">Harina 0000 1kg</t>
  </si>
  <si>
    <t xml:space="preserve">SKU-007</t>
  </si>
  <si>
    <t xml:space="preserve">Azúcar Blanca 1kg</t>
  </si>
  <si>
    <t xml:space="preserve">PRV-004</t>
  </si>
  <si>
    <t xml:space="preserve">Ingenio Azucarero Norte</t>
  </si>
  <si>
    <t xml:space="preserve">SKU-008</t>
  </si>
  <si>
    <t xml:space="preserve">Azúcar Morena 1kg</t>
  </si>
  <si>
    <t xml:space="preserve">SKU-009</t>
  </si>
  <si>
    <t xml:space="preserve">Aceite de Girasol 900cc</t>
  </si>
  <si>
    <t xml:space="preserve">PRV-005</t>
  </si>
  <si>
    <t xml:space="preserve">Aceites Nacionales S.A.</t>
  </si>
  <si>
    <t xml:space="preserve">SKU-010</t>
  </si>
  <si>
    <t xml:space="preserve">Aceite de Girasol 1.8L</t>
  </si>
  <si>
    <t xml:space="preserve">SKU-011</t>
  </si>
  <si>
    <t xml:space="preserve">Aceite de Maíz 900cc</t>
  </si>
  <si>
    <t xml:space="preserve">SKU-012</t>
  </si>
  <si>
    <t xml:space="preserve">Sal Fina 1kg</t>
  </si>
  <si>
    <t xml:space="preserve">PRV-006</t>
  </si>
  <si>
    <t xml:space="preserve">Salinera Patagónica</t>
  </si>
  <si>
    <t xml:space="preserve">SKU-013</t>
  </si>
  <si>
    <t xml:space="preserve">Sal Gruesa 1kg</t>
  </si>
  <si>
    <t xml:space="preserve">SKU-014</t>
  </si>
  <si>
    <t xml:space="preserve">Yerba Mate 500g</t>
  </si>
  <si>
    <t xml:space="preserve">PRV-007</t>
  </si>
  <si>
    <t xml:space="preserve">Yerbatería Misionera</t>
  </si>
  <si>
    <t xml:space="preserve">SKU-015</t>
  </si>
  <si>
    <t xml:space="preserve">Yerba Mate 1kg</t>
  </si>
  <si>
    <t xml:space="preserve">SKU-016</t>
  </si>
  <si>
    <t xml:space="preserve">Café Molido 250g</t>
  </si>
  <si>
    <t xml:space="preserve">PRV-008</t>
  </si>
  <si>
    <t xml:space="preserve">Tostadores Porteños</t>
  </si>
  <si>
    <t xml:space="preserve">SKU-017</t>
  </si>
  <si>
    <t xml:space="preserve">Té en Saquitos x20</t>
  </si>
  <si>
    <t xml:space="preserve">SKU-018</t>
  </si>
  <si>
    <t xml:space="preserve">Galletitas Dulces 200g</t>
  </si>
  <si>
    <t xml:space="preserve">PRV-009</t>
  </si>
  <si>
    <t xml:space="preserve">Galletitería del Plata</t>
  </si>
  <si>
    <t xml:space="preserve">SKU-019</t>
  </si>
  <si>
    <t xml:space="preserve">Galletitas Crackers 200g</t>
  </si>
  <si>
    <t xml:space="preserve">SKU-020</t>
  </si>
  <si>
    <t xml:space="preserve">Puré de Tomate 520g</t>
  </si>
  <si>
    <t xml:space="preserve">PRV-010</t>
  </si>
  <si>
    <t xml:space="preserve">Conservas del Campo</t>
  </si>
  <si>
    <t xml:space="preserve">SKU-021</t>
  </si>
  <si>
    <t xml:space="preserve">Tomate Triturado 400g</t>
  </si>
  <si>
    <t xml:space="preserve">SKU-022</t>
  </si>
  <si>
    <t xml:space="preserve">Mayonesa 500g</t>
  </si>
  <si>
    <t xml:space="preserve">PRV-011</t>
  </si>
  <si>
    <t xml:space="preserve">Condimentos SA</t>
  </si>
  <si>
    <t xml:space="preserve">SKU-023</t>
  </si>
  <si>
    <t xml:space="preserve">Ketchup 400g</t>
  </si>
  <si>
    <t xml:space="preserve">SKU-024</t>
  </si>
  <si>
    <t xml:space="preserve">Lentejas 500g</t>
  </si>
  <si>
    <t xml:space="preserve">PRV-012</t>
  </si>
  <si>
    <t xml:space="preserve">Legumbres del Norte</t>
  </si>
  <si>
    <t xml:space="preserve">SKU-025</t>
  </si>
  <si>
    <t xml:space="preserve">Porotos Negros 500g</t>
  </si>
  <si>
    <t xml:space="preserve">  LIMPIEZA DEL HOGAR</t>
  </si>
  <si>
    <t xml:space="preserve">SKU-026</t>
  </si>
  <si>
    <t xml:space="preserve">Lavandina Concentrada 1L</t>
  </si>
  <si>
    <t xml:space="preserve">Limpieza del Hogar</t>
  </si>
  <si>
    <t xml:space="preserve">PRV-013</t>
  </si>
  <si>
    <t xml:space="preserve">Química Limpieza S.A.</t>
  </si>
  <si>
    <t xml:space="preserve">SKU-027</t>
  </si>
  <si>
    <t xml:space="preserve">Lavandina Clásica 2L</t>
  </si>
  <si>
    <t xml:space="preserve">SKU-028</t>
  </si>
  <si>
    <t xml:space="preserve">Detergente Lavavajillas 500ml</t>
  </si>
  <si>
    <t xml:space="preserve">PRV-014</t>
  </si>
  <si>
    <t xml:space="preserve">Unilever Argentina</t>
  </si>
  <si>
    <t xml:space="preserve">SKU-029</t>
  </si>
  <si>
    <t xml:space="preserve">Detergente Lavavajillas 1L</t>
  </si>
  <si>
    <t xml:space="preserve">SKU-030</t>
  </si>
  <si>
    <t xml:space="preserve">Jabón en Polvo 1kg</t>
  </si>
  <si>
    <t xml:space="preserve">PRV-015</t>
  </si>
  <si>
    <t xml:space="preserve">Procter &amp; Gamble AR</t>
  </si>
  <si>
    <t xml:space="preserve">SKU-031</t>
  </si>
  <si>
    <t xml:space="preserve">Jabón en Polvo 3kg</t>
  </si>
  <si>
    <t xml:space="preserve">SKU-032</t>
  </si>
  <si>
    <t xml:space="preserve">Suavizante Ropa 800ml</t>
  </si>
  <si>
    <t xml:space="preserve">PRV-016</t>
  </si>
  <si>
    <t xml:space="preserve">Henkel Argentina</t>
  </si>
  <si>
    <t xml:space="preserve">SKU-033</t>
  </si>
  <si>
    <t xml:space="preserve">Suavizante Ropa 1.5L</t>
  </si>
  <si>
    <t xml:space="preserve">SKU-034</t>
  </si>
  <si>
    <t xml:space="preserve">Limpiador Multiuso 500ml</t>
  </si>
  <si>
    <t xml:space="preserve">PRV-017</t>
  </si>
  <si>
    <t xml:space="preserve">Reckitt Benckiser AR</t>
  </si>
  <si>
    <t xml:space="preserve">SKU-035</t>
  </si>
  <si>
    <t xml:space="preserve">Limpiador Piso 1L</t>
  </si>
  <si>
    <t xml:space="preserve">SKU-036</t>
  </si>
  <si>
    <t xml:space="preserve">Desengrasante 500ml</t>
  </si>
  <si>
    <t xml:space="preserve">PRV-018</t>
  </si>
  <si>
    <t xml:space="preserve">Limpiadores del Sur</t>
  </si>
  <si>
    <t xml:space="preserve">SKU-037</t>
  </si>
  <si>
    <t xml:space="preserve">Limpiavidrios 500ml</t>
  </si>
  <si>
    <t xml:space="preserve">SKU-038</t>
  </si>
  <si>
    <t xml:space="preserve">Esponjas Doble Faz x3</t>
  </si>
  <si>
    <t xml:space="preserve">PRV-019</t>
  </si>
  <si>
    <t xml:space="preserve">Artículos del Hogar</t>
  </si>
  <si>
    <t xml:space="preserve">SKU-039</t>
  </si>
  <si>
    <t xml:space="preserve">Trapo de Piso x1</t>
  </si>
  <si>
    <t xml:space="preserve">SKU-040</t>
  </si>
  <si>
    <t xml:space="preserve">Escoba con Mango</t>
  </si>
  <si>
    <t xml:space="preserve">PRV-020</t>
  </si>
  <si>
    <t xml:space="preserve">Ferretería Central</t>
  </si>
  <si>
    <t xml:space="preserve">SKU-041</t>
  </si>
  <si>
    <t xml:space="preserve">Cesto de Residuos 20L</t>
  </si>
  <si>
    <t xml:space="preserve">SKU-042</t>
  </si>
  <si>
    <t xml:space="preserve">Bolsas de Basura x10 90L</t>
  </si>
  <si>
    <t xml:space="preserve">PRV-021</t>
  </si>
  <si>
    <t xml:space="preserve">Plásticos Unidos S.A.</t>
  </si>
  <si>
    <t xml:space="preserve">SKU-043</t>
  </si>
  <si>
    <t xml:space="preserve">Bolsas de Basura x30 35L</t>
  </si>
  <si>
    <t xml:space="preserve">SKU-044</t>
  </si>
  <si>
    <t xml:space="preserve">Papel Higiénico x4</t>
  </si>
  <si>
    <t xml:space="preserve">PRV-022</t>
  </si>
  <si>
    <t xml:space="preserve">Papelera Nacional</t>
  </si>
  <si>
    <t xml:space="preserve">SKU-045</t>
  </si>
  <si>
    <t xml:space="preserve">Papel Higiénico x12</t>
  </si>
  <si>
    <t xml:space="preserve">SKU-046</t>
  </si>
  <si>
    <t xml:space="preserve">Servilletas x100</t>
  </si>
  <si>
    <t xml:space="preserve">PRV-023</t>
  </si>
  <si>
    <t xml:space="preserve">SKU-047</t>
  </si>
  <si>
    <t xml:space="preserve">Toallas de Papel x2</t>
  </si>
  <si>
    <t xml:space="preserve">SKU-048</t>
  </si>
  <si>
    <t xml:space="preserve">Repasador x2</t>
  </si>
  <si>
    <t xml:space="preserve">PRV-024</t>
  </si>
  <si>
    <t xml:space="preserve">SKU-049</t>
  </si>
  <si>
    <t xml:space="preserve">Guantes de Látex Talle M</t>
  </si>
  <si>
    <t xml:space="preserve">SKU-050</t>
  </si>
  <si>
    <t xml:space="preserve">Guantes de Látex Talle G</t>
  </si>
  <si>
    <t xml:space="preserve">  HIGIENE PERSONAL</t>
  </si>
  <si>
    <t xml:space="preserve">SKU-051</t>
  </si>
  <si>
    <t xml:space="preserve">Jabón de Tocador x3</t>
  </si>
  <si>
    <t xml:space="preserve">Higiene Personal</t>
  </si>
  <si>
    <t xml:space="preserve">PRV-025</t>
  </si>
  <si>
    <t xml:space="preserve">Johnson &amp; Johnson AR</t>
  </si>
  <si>
    <t xml:space="preserve">SKU-052</t>
  </si>
  <si>
    <t xml:space="preserve">Jabón Líquido 300ml</t>
  </si>
  <si>
    <t xml:space="preserve">SKU-053</t>
  </si>
  <si>
    <t xml:space="preserve">Shampoo 400ml</t>
  </si>
  <si>
    <t xml:space="preserve">PRV-026</t>
  </si>
  <si>
    <t xml:space="preserve">L'Oréal Argentina</t>
  </si>
  <si>
    <t xml:space="preserve">SKU-054</t>
  </si>
  <si>
    <t xml:space="preserve">Acondicionador 400ml</t>
  </si>
  <si>
    <t xml:space="preserve">SKU-055</t>
  </si>
  <si>
    <t xml:space="preserve">Pasta Dental 90g</t>
  </si>
  <si>
    <t xml:space="preserve">PRV-027</t>
  </si>
  <si>
    <t xml:space="preserve">Colgate-Palmolive AR</t>
  </si>
  <si>
    <t xml:space="preserve">SKU-056</t>
  </si>
  <si>
    <t xml:space="preserve">Pasta Dental 150g</t>
  </si>
  <si>
    <t xml:space="preserve">SKU-057</t>
  </si>
  <si>
    <t xml:space="preserve">Cepillo de Dientes x2</t>
  </si>
  <si>
    <t xml:space="preserve">PRV-028</t>
  </si>
  <si>
    <t xml:space="preserve">Oral-B Argentina</t>
  </si>
  <si>
    <t xml:space="preserve">SKU-058</t>
  </si>
  <si>
    <t xml:space="preserve">Desodorante Roll-On 65ml</t>
  </si>
  <si>
    <t xml:space="preserve">PRV-029</t>
  </si>
  <si>
    <t xml:space="preserve">SKU-059</t>
  </si>
  <si>
    <t xml:space="preserve">Desodorante Aerosol 150ml</t>
  </si>
  <si>
    <t xml:space="preserve">SKU-060</t>
  </si>
  <si>
    <t xml:space="preserve">Crema Corporal 200ml</t>
  </si>
  <si>
    <t xml:space="preserve">PRV-030</t>
  </si>
  <si>
    <t xml:space="preserve">Nivea Argentina</t>
  </si>
  <si>
    <t xml:space="preserve">SKU-061</t>
  </si>
  <si>
    <t xml:space="preserve">Crema de Manos 100ml</t>
  </si>
  <si>
    <t xml:space="preserve">SKU-062</t>
  </si>
  <si>
    <t xml:space="preserve">Protector Solar FPS50 150ml</t>
  </si>
  <si>
    <t xml:space="preserve">PRV-031</t>
  </si>
  <si>
    <t xml:space="preserve">Suncare Labs S.A.</t>
  </si>
  <si>
    <t xml:space="preserve">SKU-063</t>
  </si>
  <si>
    <t xml:space="preserve">Papel Higiénico Húmedo x40</t>
  </si>
  <si>
    <t xml:space="preserve">SKU-064</t>
  </si>
  <si>
    <t xml:space="preserve">Algodón 100g</t>
  </si>
  <si>
    <t xml:space="preserve">PRV-032</t>
  </si>
  <si>
    <t xml:space="preserve">Farmacéutica Central</t>
  </si>
  <si>
    <t xml:space="preserve">SKU-065</t>
  </si>
  <si>
    <t xml:space="preserve">Hisopos x100</t>
  </si>
  <si>
    <t xml:space="preserve">SKU-066</t>
  </si>
  <si>
    <t xml:space="preserve">Pañuelos Descartables x10</t>
  </si>
  <si>
    <t xml:space="preserve">PRV-033</t>
  </si>
  <si>
    <t xml:space="preserve">Gillette Argentina</t>
  </si>
  <si>
    <t xml:space="preserve">SKU-067</t>
  </si>
  <si>
    <t xml:space="preserve">Afeitadora Descartable x5</t>
  </si>
  <si>
    <t xml:space="preserve">SKU-068</t>
  </si>
  <si>
    <t xml:space="preserve">Espuma de Afeitar 200ml</t>
  </si>
  <si>
    <t xml:space="preserve">PRV-034</t>
  </si>
  <si>
    <t xml:space="preserve">SKU-069</t>
  </si>
  <si>
    <t xml:space="preserve">Peine y Cepillo Set</t>
  </si>
  <si>
    <t xml:space="preserve">SKU-070</t>
  </si>
  <si>
    <t xml:space="preserve">Toallas Femeninas x8</t>
  </si>
  <si>
    <t xml:space="preserve">PRV-035</t>
  </si>
  <si>
    <t xml:space="preserve">SKU-071</t>
  </si>
  <si>
    <t xml:space="preserve">Tampones x16</t>
  </si>
  <si>
    <t xml:space="preserve">SKU-072</t>
  </si>
  <si>
    <t xml:space="preserve">Talco Corporal 100g</t>
  </si>
  <si>
    <t xml:space="preserve">PRV-036</t>
  </si>
  <si>
    <t xml:space="preserve">Beiersdorf Argentina</t>
  </si>
  <si>
    <t xml:space="preserve">SKU-073</t>
  </si>
  <si>
    <t xml:space="preserve">Loción After Shave 100ml</t>
  </si>
  <si>
    <t xml:space="preserve">SKU-074</t>
  </si>
  <si>
    <t xml:space="preserve">Maquinilla de Afeitar Recargable</t>
  </si>
  <si>
    <t xml:space="preserve">PRV-037</t>
  </si>
  <si>
    <t xml:space="preserve">SKU-075</t>
  </si>
  <si>
    <t xml:space="preserve">Repuestos Maquinilla x4</t>
  </si>
  <si>
    <t xml:space="preserve">TOTALES</t>
  </si>
  <si>
    <t xml:space="preserve">LEYENDA DE COLORES:</t>
  </si>
  <si>
    <t xml:space="preserve">Texto azul</t>
  </si>
  <si>
    <t xml:space="preserve">Datos de entrada (editables por el usuario)</t>
  </si>
  <si>
    <t xml:space="preserve">Texto negro</t>
  </si>
  <si>
    <t xml:space="preserve">Fórmulas calculadas automáticamente</t>
  </si>
  <si>
    <t xml:space="preserve">ANÁLISIS DE INVENTARIO — KPIs Y CLASIFICACIÓN</t>
  </si>
  <si>
    <t xml:space="preserve">Motor de cálculo automático · Todos los valores se actualizan al modificar Base_Datos · Fórmulas referenciadas en verde</t>
  </si>
  <si>
    <t xml:space="preserve">Días de
Cobertura</t>
  </si>
  <si>
    <t xml:space="preserve">Índice de
Rotación
(x/mes)</t>
  </si>
  <si>
    <t xml:space="preserve">Capital
Inmovilizado</t>
  </si>
  <si>
    <t xml:space="preserve">Estado
Cobertura</t>
  </si>
  <si>
    <t xml:space="preserve">Alerta
Quiebre</t>
  </si>
  <si>
    <t xml:space="preserve">Clasif.
ABC</t>
  </si>
  <si>
    <t xml:space="preserve">% sobre
Total Ventas</t>
  </si>
  <si>
    <t xml:space="preserve">Acción
Recomendada</t>
  </si>
  <si>
    <t xml:space="preserve">Prioridad</t>
  </si>
  <si>
    <t xml:space="preserve">RESUMEN EJECUTIVO DEL ANÁLISIS</t>
  </si>
  <si>
    <t xml:space="preserve">Indicador</t>
  </si>
  <si>
    <t xml:space="preserve">Valor</t>
  </si>
  <si>
    <t xml:space="preserve">SKUs con quiebre (&lt;7d)</t>
  </si>
  <si>
    <t xml:space="preserve">SKUs</t>
  </si>
  <si>
    <t xml:space="preserve">SKUs stock muerto</t>
  </si>
  <si>
    <t xml:space="preserve">SKUs sobrestock</t>
  </si>
  <si>
    <t xml:space="preserve">SKUs en nivel normal</t>
  </si>
  <si>
    <t xml:space="preserve">Capital total inmovilizado</t>
  </si>
  <si>
    <t xml:space="preserve">USD</t>
  </si>
  <si>
    <t xml:space="preserve">Capital en stock muerto</t>
  </si>
  <si>
    <t xml:space="preserve">Días cobertura promedio</t>
  </si>
  <si>
    <t xml:space="preserve">días</t>
  </si>
  <si>
    <t xml:space="preserve">Rotación promedio</t>
  </si>
  <si>
    <t xml:space="preserve">x/mes</t>
  </si>
  <si>
    <t xml:space="preserve">PANEL DE ALERTAS OPERATIVAS</t>
  </si>
  <si>
    <t xml:space="preserve">Extracción automática de SKUs críticos · Actualización inmediata al cambiar Base_Datos · Usar para reuniones de operaciones</t>
  </si>
  <si>
    <t xml:space="preserve">🔴  QUIEBRE INMINENTE — Cobertura menor a 7 días</t>
  </si>
  <si>
    <t xml:space="preserve">Días
Cobertura</t>
  </si>
  <si>
    <t xml:space="preserve">ABC</t>
  </si>
  <si>
    <t xml:space="preserve">Capital
Inmov.</t>
  </si>
  <si>
    <t xml:space="preserve">Acción</t>
  </si>
  <si>
    <t xml:space="preserve">🔴  STOCK MUERTO — Sin movimiento &gt;60 días y cobertura &gt;180 días</t>
  </si>
  <si>
    <t xml:space="preserve">🟡  SOBRESTOCK — Cobertura entre 90 y 180 días</t>
  </si>
  <si>
    <t xml:space="preserve">🟡  CRÍTICO — Cobertura entre 7 y 14 días</t>
  </si>
  <si>
    <t xml:space="preserve">⏳ Esta hoja se completará en la Fase siguiente.</t>
  </si>
  <si>
    <t xml:space="preserve">Estado</t>
  </si>
  <si>
    <t xml:space="preserve">Cantidad</t>
  </si>
  <si>
    <t xml:space="preserve">DASHBOARD EJECUTIVO — SISTEMA DE CONTROL DE INVENTARIO · DISTRIBUIDORA FMCG</t>
  </si>
  <si>
    <t xml:space="preserve">🟢 Normal</t>
  </si>
  <si>
    <t xml:space="preserve">Período analizado: Enero – Junio 2025  ·  75 SKUs activos  ·  3 categorías  ·  Datos actualizados automáticamente desde Base_Datos</t>
  </si>
  <si>
    <t xml:space="preserve">🔴 Quiebre</t>
  </si>
  <si>
    <t xml:space="preserve">🔴 Stock Muerto</t>
  </si>
  <si>
    <t xml:space="preserve">CAPITAL TOTAL INMOVILIZADO</t>
  </si>
  <si>
    <t xml:space="preserve">CAPITAL EN STOCK MUERTO</t>
  </si>
  <si>
    <t xml:space="preserve">SKUs POR ESTADO</t>
  </si>
  <si>
    <t xml:space="preserve">🟡 Sobrestock</t>
  </si>
  <si>
    <t xml:space="preserve">🟡 Crítico</t>
  </si>
  <si>
    <t xml:space="preserve">Stock valorizado a precio costo</t>
  </si>
  <si>
    <t xml:space="preserve">34.7% del capital total · 12 SKUs</t>
  </si>
  <si>
    <t xml:space="preserve">de 75 SKUs totales analizados</t>
  </si>
  <si>
    <t xml:space="preserve">▶  Visibilidad completa por 1ª vez</t>
  </si>
  <si>
    <t xml:space="preserve">▶  Recuperable con liquidación</t>
  </si>
  <si>
    <t xml:space="preserve">▶  7 en quiebre · 12 sin rotación</t>
  </si>
  <si>
    <t xml:space="preserve">Capital ($)</t>
  </si>
  <si>
    <t xml:space="preserve">  DISTRIBUCIÓN DE ESTADOS</t>
  </si>
  <si>
    <t xml:space="preserve">  CAPITAL INMOVILIZADO POR CATEGORÍA (USD)</t>
  </si>
  <si>
    <t xml:space="preserve">  EVOLUCIÓN DE VENTAS MENSUALES (Unidades)</t>
  </si>
  <si>
    <t xml:space="preserve">Mes</t>
  </si>
  <si>
    <t xml:space="preserve">Unidades</t>
  </si>
  <si>
    <t xml:space="preserve">Ene-25</t>
  </si>
  <si>
    <t xml:space="preserve">Feb-25</t>
  </si>
  <si>
    <t xml:space="preserve">Mar-25</t>
  </si>
  <si>
    <t xml:space="preserve">Abr-25</t>
  </si>
  <si>
    <t xml:space="preserve">May-25</t>
  </si>
  <si>
    <t xml:space="preserve">Jun-25</t>
  </si>
  <si>
    <t xml:space="preserve">Clase</t>
  </si>
  <si>
    <t xml:space="preserve">A</t>
  </si>
  <si>
    <t xml:space="preserve">B</t>
  </si>
  <si>
    <t xml:space="preserve">C</t>
  </si>
  <si>
    <t xml:space="preserve">  CLASIFICACIÓN ABC DE SKUs</t>
  </si>
  <si>
    <t xml:space="preserve">  TOP 10 — MAYOR CAPITAL INMOVILIZADO</t>
  </si>
  <si>
    <t xml:space="preserve">  IMPACTO DEL SISTEMA — ANTES vs. DESPUÉS</t>
  </si>
  <si>
    <t xml:space="preserve">#</t>
  </si>
  <si>
    <t xml:space="preserve">SKU</t>
  </si>
  <si>
    <t xml:space="preserve">Producto</t>
  </si>
  <si>
    <t xml:space="preserve">Capital</t>
  </si>
  <si>
    <t xml:space="preserve">Métrica</t>
  </si>
  <si>
    <t xml:space="preserve">Antes</t>
  </si>
  <si>
    <t xml:space="preserve">Después</t>
  </si>
  <si>
    <t xml:space="preserve">Δ</t>
  </si>
  <si>
    <t xml:space="preserve">Resultado</t>
  </si>
  <si>
    <t xml:space="preserve">ANTES</t>
  </si>
  <si>
    <t xml:space="preserve">DESPUÉS</t>
  </si>
  <si>
    <t xml:space="preserve">Quiebres de stock detectados</t>
  </si>
  <si>
    <t xml:space="preserve">0</t>
  </si>
  <si>
    <t xml:space="preserve">7</t>
  </si>
  <si>
    <t xml:space="preserve">🔴</t>
  </si>
  <si>
    <t xml:space="preserve">100% visibilidad</t>
  </si>
  <si>
    <t xml:space="preserve">Quiebres detectados</t>
  </si>
  <si>
    <t xml:space="preserve">$0</t>
  </si>
  <si>
    <t xml:space="preserve">$22.473</t>
  </si>
  <si>
    <t xml:space="preserve">Identificado y accionable</t>
  </si>
  <si>
    <t xml:space="preserve">Stock muerto identificado</t>
  </si>
  <si>
    <t xml:space="preserve">Maquinilla Afeit. Reca</t>
  </si>
  <si>
    <t xml:space="preserve">Tiempo reportería mensual</t>
  </si>
  <si>
    <t xml:space="preserve">270 min</t>
  </si>
  <si>
    <t xml:space="preserve">20 min</t>
  </si>
  <si>
    <t xml:space="preserve">🟢</t>
  </si>
  <si>
    <t xml:space="preserve">-93% tiempo operativo</t>
  </si>
  <si>
    <t xml:space="preserve">Tiempo reportería (min)</t>
  </si>
  <si>
    <t xml:space="preserve">SKUs sin visibilidad de estado</t>
  </si>
  <si>
    <t xml:space="preserve">75</t>
  </si>
  <si>
    <t xml:space="preserve">Panel completo automatizado</t>
  </si>
  <si>
    <t xml:space="preserve">SKUs sin visibilidad</t>
  </si>
  <si>
    <t xml:space="preserve">Alertas automáticas activas</t>
  </si>
  <si>
    <t xml:space="preserve">4 tipos</t>
  </si>
  <si>
    <t xml:space="preserve">Quiebre/Muerto/Sobre/Crítico</t>
  </si>
  <si>
    <t xml:space="preserve">Clasificación ABC disponible</t>
  </si>
  <si>
    <t xml:space="preserve">No</t>
  </si>
  <si>
    <t xml:space="preserve">Sí</t>
  </si>
  <si>
    <t xml:space="preserve">Priorización automática</t>
  </si>
  <si>
    <t xml:space="preserve">Papel Higiénico Húmedo</t>
  </si>
  <si>
    <t xml:space="preserve">Repuestos Maquinilla x</t>
  </si>
  <si>
    <t xml:space="preserve">  🔴  ACCIÓN URGENTE — SKUs EN QUIEBRE DE STOCK (cobertura &lt; 7 días) · Reposición inmediata requerida</t>
  </si>
  <si>
    <t xml:space="preserve">Venta Prom.
/Mes</t>
  </si>
  <si>
    <t xml:space="preserve">Días
Cob.</t>
  </si>
  <si>
    <t xml:space="preserve">Sistema de Control de Inventario · Desarrollado en Microsoft Excel · Portfolio de Logística &amp; Supply Chain Analytics · Datos simulados con distribuciones FMCG reales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</si>
</sst>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$#,##0.00"/>
    <numFmt numFmtId="166" formatCode="General"/>
    <numFmt numFmtId="167" formatCode="#,##0.0"/>
    <numFmt numFmtId="168" formatCode="dd/mm/yyyy"/>
    <numFmt numFmtId="169" formatCode="0.0"/>
    <numFmt numFmtId="170" formatCode="0"/>
    <numFmt numFmtId="171" formatCode="0.00"/>
    <numFmt numFmtId="172" formatCode="0.0%"/>
    <numFmt numFmtId="173" formatCode="\$#,##0"/>
    <numFmt numFmtId="174" formatCode="0&quot; normales&quot;"/>
    <numFmt numFmtId="175" formatCode="\$#,##0"/>
  </numFmts>
  <fonts count="4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333333"/>
      <name val="Arial"/>
      <family val="0"/>
      <charset val="1"/>
    </font>
    <font>
      <b val="true"/>
      <sz val="9"/>
      <color rgb="FF0000FF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sz val="10"/>
      <color rgb="FF0061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888888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11"/>
      <color rgb="FF888888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i val="true"/>
      <sz val="9"/>
      <color rgb="FFAAAAAA"/>
      <name val="Arial"/>
      <family val="0"/>
      <charset val="1"/>
    </font>
    <font>
      <b val="true"/>
      <sz val="8"/>
      <color rgb="FF888888"/>
      <name val="Arial"/>
      <family val="0"/>
      <charset val="1"/>
    </font>
    <font>
      <b val="true"/>
      <sz val="20"/>
      <color rgb="FF1F4E79"/>
      <name val="Arial"/>
      <family val="0"/>
      <charset val="1"/>
    </font>
    <font>
      <b val="true"/>
      <sz val="20"/>
      <color rgb="FF9C0006"/>
      <name val="Arial"/>
      <family val="0"/>
      <charset val="1"/>
    </font>
    <font>
      <b val="true"/>
      <sz val="20"/>
      <color rgb="FF375623"/>
      <name val="Arial"/>
      <family val="0"/>
      <charset val="1"/>
    </font>
    <font>
      <sz val="8"/>
      <color rgb="FF666666"/>
      <name val="Arial"/>
      <family val="0"/>
      <charset val="1"/>
    </font>
    <font>
      <b val="true"/>
      <sz val="8"/>
      <color rgb="FF2E75B6"/>
      <name val="Arial"/>
      <family val="0"/>
      <charset val="1"/>
    </font>
    <font>
      <b val="true"/>
      <sz val="8"/>
      <color rgb="FFC00000"/>
      <name val="Arial"/>
      <family val="0"/>
      <charset val="1"/>
    </font>
    <font>
      <b val="true"/>
      <sz val="8"/>
      <color rgb="FF375623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color rgb="FF1F4E79"/>
      <name val="Arial"/>
      <family val="0"/>
      <charset val="1"/>
    </font>
    <font>
      <sz val="8"/>
      <color rgb="FF333333"/>
      <name val="Arial"/>
      <family val="0"/>
      <charset val="1"/>
    </font>
    <font>
      <b val="true"/>
      <sz val="8"/>
      <color rgb="FF9C0006"/>
      <name val="Arial"/>
      <family val="0"/>
      <charset val="1"/>
    </font>
    <font>
      <sz val="8"/>
      <color rgb="FF888888"/>
      <name val="Arial"/>
      <family val="0"/>
      <charset val="1"/>
    </font>
    <font>
      <b val="true"/>
      <sz val="8"/>
      <color rgb="FF000000"/>
      <name val="Arial"/>
      <family val="0"/>
      <charset val="1"/>
    </font>
    <font>
      <sz val="8"/>
      <color rgb="FF555555"/>
      <name val="Arial"/>
      <family val="0"/>
      <charset val="1"/>
    </font>
    <font>
      <sz val="8"/>
      <color rgb="FF9C0006"/>
      <name val="Arial"/>
      <family val="0"/>
      <charset val="1"/>
    </font>
    <font>
      <sz val="8"/>
      <color rgb="FFC00000"/>
      <name val="Arial"/>
      <family val="0"/>
      <charset val="1"/>
    </font>
    <font>
      <i val="true"/>
      <sz val="8"/>
      <color rgb="FFAAAAAA"/>
      <name val="Arial"/>
      <family val="0"/>
      <charset val="1"/>
    </font>
    <font>
      <sz val="10"/>
      <color rgb="FF000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EBF3FB"/>
        <bgColor rgb="FFF2F2F2"/>
      </patternFill>
    </fill>
    <fill>
      <patternFill patternType="solid">
        <fgColor rgb="FF1F4E79"/>
        <bgColor rgb="FF003366"/>
      </patternFill>
    </fill>
    <fill>
      <patternFill patternType="solid">
        <fgColor rgb="FFD6E4F0"/>
        <bgColor rgb="FFDEE2E6"/>
      </patternFill>
    </fill>
    <fill>
      <patternFill patternType="solid">
        <fgColor rgb="FFFFFFFF"/>
        <bgColor rgb="FFF7FBFF"/>
      </patternFill>
    </fill>
    <fill>
      <patternFill patternType="solid">
        <fgColor rgb="FFF7FBFF"/>
        <bgColor rgb="FFFFFFFF"/>
      </patternFill>
    </fill>
    <fill>
      <patternFill patternType="solid">
        <fgColor rgb="FFC00000"/>
        <bgColor rgb="FF9C0006"/>
      </patternFill>
    </fill>
    <fill>
      <patternFill patternType="solid">
        <fgColor rgb="FF2E75B6"/>
        <bgColor rgb="FF4F81BD"/>
      </patternFill>
    </fill>
    <fill>
      <patternFill patternType="solid">
        <fgColor rgb="FF843C0C"/>
        <bgColor rgb="FF9C5700"/>
      </patternFill>
    </fill>
    <fill>
      <patternFill patternType="solid">
        <fgColor rgb="FF7F6000"/>
        <bgColor rgb="FF9C5700"/>
      </patternFill>
    </fill>
    <fill>
      <patternFill patternType="solid">
        <fgColor rgb="FF9C5700"/>
        <bgColor rgb="FF7F6000"/>
      </patternFill>
    </fill>
    <fill>
      <patternFill patternType="solid">
        <fgColor rgb="FF2C2C2C"/>
        <bgColor rgb="FF333333"/>
      </patternFill>
    </fill>
    <fill>
      <patternFill patternType="solid">
        <fgColor rgb="FFF2F2F2"/>
        <bgColor rgb="FFEBF3FB"/>
      </patternFill>
    </fill>
    <fill>
      <patternFill patternType="solid">
        <fgColor rgb="FFFFC7CE"/>
        <bgColor rgb="FFFFD7D7"/>
      </patternFill>
    </fill>
    <fill>
      <patternFill patternType="solid">
        <fgColor rgb="FFE2EFDA"/>
        <bgColor rgb="FFDEE2E6"/>
      </patternFill>
    </fill>
    <fill>
      <patternFill patternType="solid">
        <fgColor rgb="FFFFEB9C"/>
        <bgColor rgb="FFFFF2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medium">
        <color rgb="FFBDD7EE"/>
      </top>
      <bottom style="medium">
        <color rgb="FFBDD7EE"/>
      </bottom>
      <diagonal/>
    </border>
    <border diagonalUp="false" diagonalDown="false">
      <left/>
      <right/>
      <top/>
      <bottom style="thin">
        <color rgb="FFDEE2E6"/>
      </bottom>
      <diagonal/>
    </border>
    <border diagonalUp="false" diagonalDown="false"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2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27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28" fillId="1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1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1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36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5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0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4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0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34" fillId="1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5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1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5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2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6">
    <dxf>
      <fill>
        <patternFill patternType="solid">
          <fgColor rgb="FF1F4E79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F7FB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5EDC1"/>
          <bgColor rgb="FF000000"/>
        </patternFill>
      </fill>
    </dxf>
    <dxf>
      <fill>
        <patternFill patternType="solid">
          <fgColor rgb="FFD6EDC0"/>
          <bgColor rgb="FF000000"/>
        </patternFill>
      </fill>
    </dxf>
    <dxf>
      <fill>
        <patternFill patternType="solid">
          <fgColor rgb="FFD8EDBE"/>
          <bgColor rgb="FF000000"/>
        </patternFill>
      </fill>
    </dxf>
    <dxf>
      <fill>
        <patternFill patternType="solid">
          <fgColor rgb="FFDCEDBB"/>
          <bgColor rgb="FF000000"/>
        </patternFill>
      </fill>
    </dxf>
    <dxf>
      <fill>
        <patternFill patternType="solid">
          <fgColor rgb="FFDEEDB9"/>
          <bgColor rgb="FF000000"/>
        </patternFill>
      </fill>
    </dxf>
    <dxf>
      <fill>
        <patternFill patternType="solid">
          <fgColor rgb="FFDFEDB8"/>
          <bgColor rgb="FF000000"/>
        </patternFill>
      </fill>
    </dxf>
    <dxf>
      <fill>
        <patternFill patternType="solid">
          <fgColor rgb="FFE0EDB7"/>
          <bgColor rgb="FF000000"/>
        </patternFill>
      </fill>
    </dxf>
    <dxf>
      <fill>
        <patternFill patternType="solid">
          <fgColor rgb="FFE2EDB5"/>
          <bgColor rgb="FF000000"/>
        </patternFill>
      </fill>
    </dxf>
    <dxf>
      <fill>
        <patternFill patternType="solid">
          <fgColor rgb="FFE3EDB5"/>
          <bgColor rgb="FF000000"/>
        </patternFill>
      </fill>
    </dxf>
    <dxf>
      <fill>
        <patternFill patternType="solid">
          <fgColor rgb="FFE4ECB4"/>
          <bgColor rgb="FF000000"/>
        </patternFill>
      </fill>
    </dxf>
    <dxf>
      <fill>
        <patternFill patternType="solid">
          <fgColor rgb="FFE5ECB3"/>
          <bgColor rgb="FF000000"/>
        </patternFill>
      </fill>
    </dxf>
    <dxf>
      <fill>
        <patternFill patternType="solid">
          <fgColor rgb="FFE6ECB1"/>
          <bgColor rgb="FF000000"/>
        </patternFill>
      </fill>
    </dxf>
    <dxf>
      <fill>
        <patternFill patternType="solid">
          <fgColor rgb="FFE6ECB2"/>
          <bgColor rgb="FF000000"/>
        </patternFill>
      </fill>
    </dxf>
    <dxf>
      <fill>
        <patternFill patternType="solid">
          <fgColor rgb="FFE7ECB1"/>
          <bgColor rgb="FF000000"/>
        </patternFill>
      </fill>
    </dxf>
    <dxf>
      <fill>
        <patternFill patternType="solid">
          <fgColor rgb="FFE9ECB0"/>
          <bgColor rgb="FF000000"/>
        </patternFill>
      </fill>
    </dxf>
    <dxf>
      <fill>
        <patternFill patternType="solid">
          <fgColor rgb="FFEAECAE"/>
          <bgColor rgb="FF000000"/>
        </patternFill>
      </fill>
    </dxf>
    <dxf>
      <fill>
        <patternFill patternType="solid">
          <fgColor rgb="FFEAECAF"/>
          <bgColor rgb="FF000000"/>
        </patternFill>
      </fill>
    </dxf>
    <dxf>
      <fill>
        <patternFill patternType="solid">
          <fgColor rgb="FFEBECAD"/>
          <bgColor rgb="FF000000"/>
        </patternFill>
      </fill>
    </dxf>
    <dxf>
      <fill>
        <patternFill patternType="solid">
          <fgColor rgb="FFECECAC"/>
          <bgColor rgb="FF000000"/>
        </patternFill>
      </fill>
    </dxf>
    <dxf>
      <fill>
        <patternFill patternType="solid">
          <fgColor rgb="FFEDECAC"/>
          <bgColor rgb="FF000000"/>
        </patternFill>
      </fill>
    </dxf>
    <dxf>
      <fill>
        <patternFill patternType="solid">
          <fgColor rgb="FFEEECAB"/>
          <bgColor rgb="FF000000"/>
        </patternFill>
      </fill>
    </dxf>
    <dxf>
      <fill>
        <patternFill patternType="solid">
          <fgColor rgb="FFF0ECA9"/>
          <bgColor rgb="FF000000"/>
        </patternFill>
      </fill>
    </dxf>
    <dxf>
      <fill>
        <patternFill patternType="solid">
          <fgColor rgb="FFF1ECA8"/>
          <bgColor rgb="FF000000"/>
        </patternFill>
      </fill>
    </dxf>
    <dxf>
      <fill>
        <patternFill patternType="solid">
          <fgColor rgb="FFF2EBA8"/>
          <bgColor rgb="FF000000"/>
        </patternFill>
      </fill>
    </dxf>
    <dxf>
      <fill>
        <patternFill patternType="solid">
          <fgColor rgb="FFF5EBA4"/>
          <bgColor rgb="FF000000"/>
        </patternFill>
      </fill>
    </dxf>
    <dxf>
      <fill>
        <patternFill patternType="solid">
          <fgColor rgb="FFF6EBA4"/>
          <bgColor rgb="FF000000"/>
        </patternFill>
      </fill>
    </dxf>
    <dxf>
      <fill>
        <patternFill patternType="solid">
          <fgColor rgb="FFF8EBA2"/>
          <bgColor rgb="FF000000"/>
        </patternFill>
      </fill>
    </dxf>
    <dxf>
      <fill>
        <patternFill patternType="solid">
          <fgColor rgb="FFF9EBA2"/>
          <bgColor rgb="FF000000"/>
        </patternFill>
      </fill>
    </dxf>
    <dxf>
      <fill>
        <patternFill patternType="solid">
          <fgColor rgb="FFFBEBA0"/>
          <bgColor rgb="FF000000"/>
        </patternFill>
      </fill>
    </dxf>
    <dxf>
      <fill>
        <patternFill patternType="solid">
          <fgColor rgb="FFFCEB9F"/>
          <bgColor rgb="FF000000"/>
        </patternFill>
      </fill>
    </dxf>
    <dxf>
      <fill>
        <patternFill patternType="solid">
          <fgColor rgb="FFFDEB9E"/>
          <bgColor rgb="FF000000"/>
        </patternFill>
      </fill>
    </dxf>
    <dxf>
      <fill>
        <patternFill patternType="solid">
          <fgColor rgb="FFFEEB9D"/>
          <bgColor rgb="FF000000"/>
        </patternFill>
      </fill>
    </dxf>
    <dxf>
      <fill>
        <patternFill patternType="solid">
          <fgColor rgb="FFFFC9CB"/>
          <bgColor rgb="FF000000"/>
        </patternFill>
      </fill>
    </dxf>
    <dxf>
      <fill>
        <patternFill patternType="solid">
          <fgColor rgb="FFFFCDC6"/>
          <bgColor rgb="FF000000"/>
        </patternFill>
      </fill>
    </dxf>
    <dxf>
      <fill>
        <patternFill patternType="solid">
          <fgColor rgb="FFFFCEC4"/>
          <bgColor rgb="FF000000"/>
        </patternFill>
      </fill>
    </dxf>
    <dxf>
      <fill>
        <patternFill patternType="solid">
          <fgColor rgb="FFFFCFC3"/>
          <bgColor rgb="FF000000"/>
        </patternFill>
      </fill>
    </dxf>
    <dxf>
      <fill>
        <patternFill patternType="solid">
          <fgColor rgb="FFFFE7A1"/>
          <bgColor rgb="FF000000"/>
        </patternFill>
      </fill>
    </dxf>
    <dxf>
      <fill>
        <patternFill patternType="solid">
          <fgColor rgb="FFFFE7A2"/>
          <bgColor rgb="FF000000"/>
        </patternFill>
      </fill>
    </dxf>
    <dxf>
      <fill>
        <patternFill patternType="solid">
          <fgColor rgb="FFFFE8A0"/>
          <bgColor rgb="FF000000"/>
        </patternFill>
      </fill>
    </dxf>
    <dxf>
      <fill>
        <patternFill patternType="solid">
          <fgColor rgb="FFFFE99E"/>
          <bgColor rgb="FF000000"/>
        </patternFill>
      </fill>
    </dxf>
    <dxf>
      <fill>
        <patternFill patternType="solid">
          <fgColor rgb="FFE2EDB6"/>
          <bgColor rgb="FF000000"/>
        </patternFill>
      </fill>
    </dxf>
    <dxf>
      <fill>
        <patternFill patternType="solid">
          <fgColor rgb="FFE5ECB2"/>
          <bgColor rgb="FF000000"/>
        </patternFill>
      </fill>
    </dxf>
    <dxf>
      <fill>
        <patternFill patternType="solid">
          <fgColor rgb="FFE8ECB0"/>
          <bgColor rgb="FF000000"/>
        </patternFill>
      </fill>
    </dxf>
    <dxf>
      <fill>
        <patternFill patternType="solid">
          <fgColor rgb="FFE9ECAF"/>
          <bgColor rgb="FF000000"/>
        </patternFill>
      </fill>
    </dxf>
    <dxf>
      <fill>
        <patternFill patternType="solid">
          <fgColor rgb="FFECECAD"/>
          <bgColor rgb="FF000000"/>
        </patternFill>
      </fill>
    </dxf>
    <dxf>
      <fill>
        <patternFill patternType="solid">
          <fgColor rgb="FFF1EBA8"/>
          <bgColor rgb="FF000000"/>
        </patternFill>
      </fill>
    </dxf>
    <dxf>
      <fill>
        <patternFill patternType="solid">
          <fgColor rgb="FFF2EBA7"/>
          <bgColor rgb="FF000000"/>
        </patternFill>
      </fill>
    </dxf>
    <dxf>
      <fill>
        <patternFill patternType="solid">
          <fgColor rgb="FFF3EBA6"/>
          <bgColor rgb="FF000000"/>
        </patternFill>
      </fill>
    </dxf>
    <dxf>
      <fill>
        <patternFill patternType="solid">
          <fgColor rgb="FFF4EBA5"/>
          <bgColor rgb="FF000000"/>
        </patternFill>
      </fill>
    </dxf>
    <dxf>
      <fill>
        <patternFill patternType="solid">
          <fgColor rgb="FFF4EBA6"/>
          <bgColor rgb="FF000000"/>
        </patternFill>
      </fill>
    </dxf>
    <dxf>
      <fill>
        <patternFill patternType="solid">
          <fgColor rgb="FFF5EBA5"/>
          <bgColor rgb="FF000000"/>
        </patternFill>
      </fill>
    </dxf>
    <dxf>
      <fill>
        <patternFill patternType="solid">
          <fgColor rgb="FFF7EBA3"/>
          <bgColor rgb="FF000000"/>
        </patternFill>
      </fill>
    </dxf>
    <dxf>
      <fill>
        <patternFill patternType="solid">
          <fgColor rgb="FFF8EBA3"/>
          <bgColor rgb="FF000000"/>
        </patternFill>
      </fill>
    </dxf>
    <dxf>
      <fill>
        <patternFill patternType="solid">
          <fgColor rgb="FFF9EBA1"/>
          <bgColor rgb="FF000000"/>
        </patternFill>
      </fill>
    </dxf>
    <dxf>
      <fill>
        <patternFill patternType="solid">
          <fgColor rgb="FFFAEBA0"/>
          <bgColor rgb="FF000000"/>
        </patternFill>
      </fill>
    </dxf>
    <dxf>
      <fill>
        <patternFill patternType="solid">
          <fgColor rgb="FFFAEBA1"/>
          <bgColor rgb="FF000000"/>
        </patternFill>
      </fill>
    </dxf>
    <dxf>
      <fill>
        <patternFill patternType="solid">
          <fgColor rgb="FFFCEB9E"/>
          <bgColor rgb="FF000000"/>
        </patternFill>
      </fill>
    </dxf>
    <dxf>
      <fill>
        <patternFill patternType="solid">
          <fgColor rgb="FFFFC7CD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8CC"/>
          <bgColor rgb="FF000000"/>
        </patternFill>
      </fill>
    </dxf>
    <dxf>
      <fill>
        <patternFill patternType="solid">
          <fgColor rgb="FFFFD6B9"/>
          <bgColor rgb="FF000000"/>
        </patternFill>
      </fill>
    </dxf>
    <dxf>
      <fill>
        <patternFill patternType="solid">
          <fgColor rgb="FFFFD7B7"/>
          <bgColor rgb="FF000000"/>
        </patternFill>
      </fill>
    </dxf>
    <dxf>
      <fill>
        <patternFill patternType="solid">
          <fgColor rgb="FFFFD7B8"/>
          <bgColor rgb="FF000000"/>
        </patternFill>
      </fill>
    </dxf>
    <dxf>
      <fill>
        <patternFill patternType="solid">
          <fgColor rgb="FFFFD8B7"/>
          <bgColor rgb="FF000000"/>
        </patternFill>
      </fill>
    </dxf>
    <dxf>
      <fill>
        <patternFill patternType="solid">
          <fgColor rgb="FFFFDAB3"/>
          <bgColor rgb="FF000000"/>
        </patternFill>
      </fill>
    </dxf>
    <dxf>
      <fill>
        <patternFill patternType="solid">
          <fgColor rgb="FFFFDBB1"/>
          <bgColor rgb="FF000000"/>
        </patternFill>
      </fill>
    </dxf>
    <dxf>
      <fill>
        <patternFill patternType="solid">
          <fgColor rgb="FFFFDBB2"/>
          <bgColor rgb="FF000000"/>
        </patternFill>
      </fill>
    </dxf>
    <dxf>
      <fill>
        <patternFill patternType="solid">
          <fgColor rgb="FFFFDDAF"/>
          <bgColor rgb="FF000000"/>
        </patternFill>
      </fill>
    </dxf>
    <dxf>
      <fill>
        <patternFill patternType="solid">
          <fgColor rgb="FFFFDEAE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FFD7D7"/>
          <bgColor rgb="FF000000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9C5700"/>
      </font>
      <fill>
        <patternFill>
          <bgColor rgb="FFFFEB9C"/>
        </patternFill>
      </fill>
    </dxf>
    <dxf>
      <font>
        <b val="1"/>
        <color rgb="FF375623"/>
      </font>
      <fill>
        <patternFill>
          <bgColor rgb="FFE2EFDA"/>
        </patternFill>
      </fill>
    </dxf>
    <dxf>
      <font>
        <b val="1"/>
        <color rgb="FFFFFFFF"/>
      </font>
      <fill>
        <patternFill>
          <bgColor rgb="FF1F4E79"/>
        </patternFill>
      </fill>
    </dxf>
    <dxf>
      <font>
        <b val="1"/>
        <color rgb="FFFFFFFF"/>
      </font>
      <fill>
        <patternFill>
          <bgColor rgb="FF2E75B6"/>
        </patternFill>
      </fill>
    </dxf>
    <dxf>
      <font>
        <b val="1"/>
        <color rgb="FF1F4E79"/>
      </font>
      <fill>
        <patternFill>
          <bgColor rgb="FFBDD7EE"/>
        </patternFill>
      </fill>
    </dxf>
    <dxf>
      <font>
        <b val="1"/>
        <color rgb="FF9C0006"/>
      </font>
      <fill>
        <patternFill>
          <bgColor rgb="FFFFD7D7"/>
        </patternFill>
      </fill>
    </dxf>
    <dxf>
      <font>
        <color rgb="FF375623"/>
      </font>
      <fill>
        <patternFill>
          <bgColor rgb="FFE2EFDA"/>
        </patternFill>
      </fill>
    </dxf>
    <dxf>
      <fill>
        <patternFill>
          <bgColor rgb="FFFFE0E0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E0E0"/>
      <rgbColor rgb="FFFF00FF"/>
      <rgbColor rgb="FF00FFFF"/>
      <rgbColor rgb="FF9C0006"/>
      <rgbColor rgb="FF006100"/>
      <rgbColor rgb="FF000080"/>
      <rgbColor rgb="FF7F6000"/>
      <rgbColor rgb="FF800080"/>
      <rgbColor rgb="FF4F81BD"/>
      <rgbColor rgb="FFB3B3B3"/>
      <rgbColor rgb="FF888888"/>
      <rgbColor rgb="FFF7FBFF"/>
      <rgbColor rgb="FF9C5700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FEB9C"/>
      <rgbColor rgb="FFD9D9D9"/>
      <rgbColor rgb="FFFFD7D7"/>
      <rgbColor rgb="FFDEE2E6"/>
      <rgbColor rgb="FFFFC7CE"/>
      <rgbColor rgb="FF2E75B6"/>
      <rgbColor rgb="FF33CCCC"/>
      <rgbColor rgb="FF99CC00"/>
      <rgbColor rgb="FFFFC107"/>
      <rgbColor rgb="FFFF9800"/>
      <rgbColor rgb="FFFF6600"/>
      <rgbColor rgb="FF666666"/>
      <rgbColor rgb="FFAAAAAA"/>
      <rgbColor rgb="FF003366"/>
      <rgbColor rgb="FF4CAF50"/>
      <rgbColor rgb="FF375623"/>
      <rgbColor rgb="FF2C2C2C"/>
      <rgbColor rgb="FF843C0C"/>
      <rgbColor rgb="FF555555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tx>
            <c:strRef>
              <c:f>Dashboard!S1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explosion val="0"/>
          <c:dPt>
            <c:idx val="0"/>
            <c:spPr>
              <a:solidFill>
                <a:srgbClr val="4caf50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c00000"/>
              </a:solidFill>
              <a:ln w="0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843c0c"/>
              </a:solidFill>
              <a:ln w="0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ff9800"/>
              </a:solidFill>
              <a:ln w="0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fc107"/>
              </a:solidFill>
              <a:ln w="0">
                <a:solidFill>
                  <a:srgbClr val="000000"/>
                </a:solidFill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0"/>
            <c:showSerName val="1"/>
            <c:showPercent val="1"/>
            <c:separator>
</c:separator>
            <c:showLeaderLines val="1"/>
          </c:dLbls>
          <c:cat>
            <c:strRef>
              <c:f>Dashboard!$R$2:$R$6</c:f>
              <c:strCache>
                <c:ptCount val="5"/>
                <c:pt idx="0">
                  <c:v>🟢 Normal</c:v>
                </c:pt>
                <c:pt idx="1">
                  <c:v>🔴 Quiebre</c:v>
                </c:pt>
                <c:pt idx="2">
                  <c:v>🔴 Stock Muerto</c:v>
                </c:pt>
                <c:pt idx="3">
                  <c:v>🟡 Sobrestock</c:v>
                </c:pt>
                <c:pt idx="4">
                  <c:v>🟡 Crítico</c:v>
                </c:pt>
              </c:strCache>
            </c:strRef>
          </c:cat>
          <c:val>
            <c:numRef>
              <c:f>Dashboard!$S$2:$S$6</c:f>
              <c:numCache>
                <c:formatCode>General</c:formatCode>
                <c:ptCount val="5"/>
                <c:pt idx="0">
                  <c:v>49</c:v>
                </c:pt>
                <c:pt idx="1">
                  <c:v>7</c:v>
                </c:pt>
                <c:pt idx="2">
                  <c:v>12</c:v>
                </c:pt>
                <c:pt idx="3">
                  <c:v>6</c:v>
                </c:pt>
                <c:pt idx="4">
                  <c:v>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Dashboard!S8</c:f>
              <c:strCache>
                <c:ptCount val="1"/>
                <c:pt idx="0">
                  <c:v>Capital ($)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1f4e79"/>
              </a:solidFill>
              <a:round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0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Dashboard!$R$9:$R$11</c:f>
              <c:strCache>
                <c:ptCount val="3"/>
                <c:pt idx="0">
                  <c:v>Alimentos Secos</c:v>
                </c:pt>
                <c:pt idx="1">
                  <c:v>Limpieza del Hogar</c:v>
                </c:pt>
                <c:pt idx="2">
                  <c:v>Higiene Personal</c:v>
                </c:pt>
              </c:strCache>
            </c:strRef>
          </c:cat>
          <c:val>
            <c:numRef>
              <c:f>Dashboard!$S$9:$S$11</c:f>
              <c:numCache>
                <c:formatCode>General</c:formatCode>
                <c:ptCount val="3"/>
                <c:pt idx="0">
                  <c:v>13815.4</c:v>
                </c:pt>
                <c:pt idx="1">
                  <c:v>25493</c:v>
                </c:pt>
                <c:pt idx="2">
                  <c:v>25516.8</c:v>
                </c:pt>
              </c:numCache>
            </c:numRef>
          </c:val>
        </c:ser>
        <c:gapWidth val="150"/>
        <c:overlap val="0"/>
        <c:axId val="69032644"/>
        <c:axId val="16369656"/>
      </c:barChart>
      <c:catAx>
        <c:axId val="690326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369656"/>
        <c:crosses val="autoZero"/>
        <c:auto val="1"/>
        <c:lblAlgn val="ctr"/>
        <c:lblOffset val="100"/>
        <c:noMultiLvlLbl val="0"/>
      </c:catAx>
      <c:valAx>
        <c:axId val="1636965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0326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Dashboard!S13</c:f>
              <c:strCache>
                <c:ptCount val="1"/>
                <c:pt idx="0">
                  <c:v>Unidades</c:v>
                </c:pt>
              </c:strCache>
            </c:strRef>
          </c:tx>
          <c:spPr>
            <a:solidFill>
              <a:srgbClr val="1f4e79"/>
            </a:solidFill>
            <a:ln w="2484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Dashboard!$R$14:$R$19</c:f>
              <c:strCache>
                <c:ptCount val="6"/>
                <c:pt idx="0">
                  <c:v>Ene-25</c:v>
                </c:pt>
                <c:pt idx="1">
                  <c:v>Feb-25</c:v>
                </c:pt>
                <c:pt idx="2">
                  <c:v>Mar-25</c:v>
                </c:pt>
                <c:pt idx="3">
                  <c:v>Abr-25</c:v>
                </c:pt>
                <c:pt idx="4">
                  <c:v>May-25</c:v>
                </c:pt>
                <c:pt idx="5">
                  <c:v>Jun-25</c:v>
                </c:pt>
              </c:strCache>
            </c:strRef>
          </c:cat>
          <c:val>
            <c:numRef>
              <c:f>Dashboard!$S$14:$S$19</c:f>
              <c:numCache>
                <c:formatCode>General</c:formatCode>
                <c:ptCount val="6"/>
                <c:pt idx="0">
                  <c:v>8141</c:v>
                </c:pt>
                <c:pt idx="1">
                  <c:v>8507</c:v>
                </c:pt>
                <c:pt idx="2">
                  <c:v>8406</c:v>
                </c:pt>
                <c:pt idx="3">
                  <c:v>7999</c:v>
                </c:pt>
                <c:pt idx="4">
                  <c:v>7879</c:v>
                </c:pt>
                <c:pt idx="5">
                  <c:v>8391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3524896"/>
        <c:axId val="31214653"/>
      </c:lineChart>
      <c:catAx>
        <c:axId val="435248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214653"/>
        <c:crosses val="autoZero"/>
        <c:auto val="1"/>
        <c:lblAlgn val="ctr"/>
        <c:lblOffset val="100"/>
        <c:noMultiLvlLbl val="0"/>
      </c:catAx>
      <c:valAx>
        <c:axId val="3121465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5248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Dashboard!S21</c:f>
              <c:strCache>
                <c:ptCount val="1"/>
                <c:pt idx="0">
                  <c:v>SKUs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Pt>
            <c:idx val="0"/>
            <c:invertIfNegative val="0"/>
            <c:spPr>
              <a:solidFill>
                <a:srgbClr val="1f4e79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invertIfNegative val="0"/>
            <c:spPr>
              <a:solidFill>
                <a:srgbClr val="2e75b6"/>
              </a:solidFill>
              <a:ln w="0">
                <a:solidFill>
                  <a:srgbClr val="000000"/>
                </a:solidFill>
              </a:ln>
            </c:spPr>
          </c:dPt>
          <c:dPt>
            <c:idx val="2"/>
            <c:invertIfNegative val="0"/>
            <c:spPr>
              <a:solidFill>
                <a:srgbClr val="bdd7ee"/>
              </a:solidFill>
              <a:ln w="0">
                <a:solidFill>
                  <a:srgbClr val="000000"/>
                </a:solidFill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Dashboard!$R$22:$R$24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Dashboard!$S$22:$S$24</c:f>
              <c:numCache>
                <c:formatCode>General</c:formatCode>
                <c:ptCount val="3"/>
                <c:pt idx="0">
                  <c:v>15</c:v>
                </c:pt>
                <c:pt idx="1">
                  <c:v>23</c:v>
                </c:pt>
                <c:pt idx="2">
                  <c:v>37</c:v>
                </c:pt>
              </c:numCache>
            </c:numRef>
          </c:val>
        </c:ser>
        <c:gapWidth val="150"/>
        <c:overlap val="0"/>
        <c:axId val="84722106"/>
        <c:axId val="91469511"/>
      </c:barChart>
      <c:catAx>
        <c:axId val="8472210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469511"/>
        <c:crosses val="autoZero"/>
        <c:auto val="1"/>
        <c:lblAlgn val="ctr"/>
        <c:lblOffset val="100"/>
        <c:noMultiLvlLbl val="0"/>
      </c:catAx>
      <c:valAx>
        <c:axId val="9146951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7221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</xdr:row>
      <xdr:rowOff>0</xdr:rowOff>
    </xdr:from>
    <xdr:to>
      <xdr:col>4</xdr:col>
      <xdr:colOff>639000</xdr:colOff>
      <xdr:row>28</xdr:row>
      <xdr:rowOff>55800</xdr:rowOff>
    </xdr:to>
    <xdr:graphicFrame>
      <xdr:nvGraphicFramePr>
        <xdr:cNvPr id="0" name="Chart 1"/>
        <xdr:cNvGraphicFramePr/>
      </xdr:nvGraphicFramePr>
      <xdr:xfrm>
        <a:off x="141120" y="2209680"/>
        <a:ext cx="359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10</xdr:row>
      <xdr:rowOff>0</xdr:rowOff>
    </xdr:from>
    <xdr:to>
      <xdr:col>9</xdr:col>
      <xdr:colOff>639000</xdr:colOff>
      <xdr:row>28</xdr:row>
      <xdr:rowOff>55800</xdr:rowOff>
    </xdr:to>
    <xdr:graphicFrame>
      <xdr:nvGraphicFramePr>
        <xdr:cNvPr id="1" name="Chart 2"/>
        <xdr:cNvGraphicFramePr/>
      </xdr:nvGraphicFramePr>
      <xdr:xfrm>
        <a:off x="4229280" y="2209680"/>
        <a:ext cx="359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10</xdr:row>
      <xdr:rowOff>0</xdr:rowOff>
    </xdr:from>
    <xdr:to>
      <xdr:col>14</xdr:col>
      <xdr:colOff>638640</xdr:colOff>
      <xdr:row>28</xdr:row>
      <xdr:rowOff>55800</xdr:rowOff>
    </xdr:to>
    <xdr:graphicFrame>
      <xdr:nvGraphicFramePr>
        <xdr:cNvPr id="2" name="Chart 3"/>
        <xdr:cNvGraphicFramePr/>
      </xdr:nvGraphicFramePr>
      <xdr:xfrm>
        <a:off x="8317080" y="2209680"/>
        <a:ext cx="359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25</xdr:row>
      <xdr:rowOff>0</xdr:rowOff>
    </xdr:from>
    <xdr:to>
      <xdr:col>4</xdr:col>
      <xdr:colOff>639000</xdr:colOff>
      <xdr:row>39</xdr:row>
      <xdr:rowOff>60120</xdr:rowOff>
    </xdr:to>
    <xdr:graphicFrame>
      <xdr:nvGraphicFramePr>
        <xdr:cNvPr id="3" name="Chart 4"/>
        <xdr:cNvGraphicFramePr/>
      </xdr:nvGraphicFramePr>
      <xdr:xfrm>
        <a:off x="141120" y="5105520"/>
        <a:ext cx="359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32"/>
    <col collapsed="false" customWidth="true" hidden="false" outlineLevel="0" max="3" min="3" style="1" width="22"/>
    <col collapsed="false" customWidth="true" hidden="false" outlineLevel="0" max="4" min="4" style="1" width="13"/>
    <col collapsed="false" customWidth="true" hidden="false" outlineLevel="0" max="5" min="5" style="1" width="28"/>
    <col collapsed="false" customWidth="true" hidden="false" outlineLevel="0" max="6" min="6" style="1" width="10"/>
    <col collapsed="false" customWidth="true" hidden="false" outlineLevel="0" max="14" min="7" style="1" width="9"/>
    <col collapsed="false" customWidth="true" hidden="false" outlineLevel="0" max="16" min="15" style="1" width="11"/>
    <col collapsed="false" customWidth="true" hidden="false" outlineLevel="0" max="17" min="17" style="1" width="14"/>
    <col collapsed="false" customWidth="true" hidden="false" outlineLevel="0" max="18" min="18" style="1" width="11"/>
    <col collapsed="false" customWidth="true" hidden="false" outlineLevel="0" max="19" min="19" style="1" width="14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customFormat="false" ht="6" hidden="false" customHeight="true" outlineLevel="0" collapsed="false"/>
    <row r="4" customFormat="false" ht="36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</row>
    <row r="5" customFormat="false" ht="19.5" hidden="false" customHeight="true" outlineLevel="0" collapsed="false">
      <c r="A5" s="5" t="s">
        <v>21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customFormat="false" ht="18" hidden="false" customHeight="true" outlineLevel="0" collapsed="false">
      <c r="A6" s="6" t="s">
        <v>22</v>
      </c>
      <c r="B6" s="7" t="s">
        <v>23</v>
      </c>
      <c r="C6" s="7" t="s">
        <v>24</v>
      </c>
      <c r="D6" s="8" t="s">
        <v>25</v>
      </c>
      <c r="E6" s="7" t="s">
        <v>26</v>
      </c>
      <c r="F6" s="9" t="n">
        <v>3.2</v>
      </c>
      <c r="G6" s="10" t="n">
        <v>64</v>
      </c>
      <c r="H6" s="10" t="n">
        <v>14</v>
      </c>
      <c r="I6" s="10" t="n">
        <v>51</v>
      </c>
      <c r="J6" s="10" t="n">
        <v>61</v>
      </c>
      <c r="K6" s="10" t="n">
        <v>59</v>
      </c>
      <c r="L6" s="10" t="n">
        <v>78</v>
      </c>
      <c r="M6" s="10" t="n">
        <v>76</v>
      </c>
      <c r="N6" s="10" t="n">
        <v>84</v>
      </c>
      <c r="O6" s="11" t="n">
        <f aca="false">SUM(I6:N6)</f>
        <v>409</v>
      </c>
      <c r="P6" s="12" t="n">
        <f aca="false">O6/6</f>
        <v>68.1666666666667</v>
      </c>
      <c r="Q6" s="13" t="n">
        <v>45829</v>
      </c>
      <c r="R6" s="11" t="n">
        <f aca="false">DATE(2025,6,22)-Q6</f>
        <v>1</v>
      </c>
      <c r="S6" s="14" t="n">
        <f aca="false">G6*F6</f>
        <v>204.8</v>
      </c>
    </row>
    <row r="7" customFormat="false" ht="18" hidden="false" customHeight="true" outlineLevel="0" collapsed="false">
      <c r="A7" s="15" t="s">
        <v>27</v>
      </c>
      <c r="B7" s="16" t="s">
        <v>28</v>
      </c>
      <c r="C7" s="16" t="s">
        <v>24</v>
      </c>
      <c r="D7" s="17" t="s">
        <v>25</v>
      </c>
      <c r="E7" s="16" t="s">
        <v>26</v>
      </c>
      <c r="F7" s="18" t="n">
        <v>14.5</v>
      </c>
      <c r="G7" s="19" t="n">
        <v>69</v>
      </c>
      <c r="H7" s="19" t="n">
        <v>14</v>
      </c>
      <c r="I7" s="19" t="n">
        <v>54</v>
      </c>
      <c r="J7" s="19" t="n">
        <v>64</v>
      </c>
      <c r="K7" s="19" t="n">
        <v>48</v>
      </c>
      <c r="L7" s="19" t="n">
        <v>54</v>
      </c>
      <c r="M7" s="19" t="n">
        <v>69</v>
      </c>
      <c r="N7" s="19" t="n">
        <v>66</v>
      </c>
      <c r="O7" s="20" t="n">
        <f aca="false">SUM(I7:N7)</f>
        <v>355</v>
      </c>
      <c r="P7" s="21" t="n">
        <f aca="false">O7/6</f>
        <v>59.1666666666667</v>
      </c>
      <c r="Q7" s="22" t="n">
        <v>45804</v>
      </c>
      <c r="R7" s="20" t="n">
        <f aca="false">DATE(2025,6,22)-Q7</f>
        <v>26</v>
      </c>
      <c r="S7" s="23" t="n">
        <f aca="false">G7*F7</f>
        <v>1000.5</v>
      </c>
    </row>
    <row r="8" customFormat="false" ht="18" hidden="false" customHeight="true" outlineLevel="0" collapsed="false">
      <c r="A8" s="6" t="s">
        <v>29</v>
      </c>
      <c r="B8" s="7" t="s">
        <v>30</v>
      </c>
      <c r="C8" s="7" t="s">
        <v>24</v>
      </c>
      <c r="D8" s="8" t="s">
        <v>31</v>
      </c>
      <c r="E8" s="7" t="s">
        <v>32</v>
      </c>
      <c r="F8" s="9" t="n">
        <v>1.8</v>
      </c>
      <c r="G8" s="10" t="n">
        <v>190</v>
      </c>
      <c r="H8" s="10" t="n">
        <v>8</v>
      </c>
      <c r="I8" s="10" t="n">
        <v>47</v>
      </c>
      <c r="J8" s="10" t="n">
        <v>34</v>
      </c>
      <c r="K8" s="10" t="n">
        <v>40</v>
      </c>
      <c r="L8" s="10" t="n">
        <v>37</v>
      </c>
      <c r="M8" s="10" t="n">
        <v>35</v>
      </c>
      <c r="N8" s="10" t="n">
        <v>47</v>
      </c>
      <c r="O8" s="11" t="n">
        <f aca="false">SUM(I8:N8)</f>
        <v>240</v>
      </c>
      <c r="P8" s="12" t="n">
        <f aca="false">O8/6</f>
        <v>40</v>
      </c>
      <c r="Q8" s="13" t="n">
        <v>45818</v>
      </c>
      <c r="R8" s="11" t="n">
        <f aca="false">DATE(2025,6,22)-Q8</f>
        <v>12</v>
      </c>
      <c r="S8" s="14" t="n">
        <f aca="false">G8*F8</f>
        <v>342</v>
      </c>
    </row>
    <row r="9" customFormat="false" ht="18" hidden="false" customHeight="true" outlineLevel="0" collapsed="false">
      <c r="A9" s="15" t="s">
        <v>33</v>
      </c>
      <c r="B9" s="16" t="s">
        <v>34</v>
      </c>
      <c r="C9" s="16" t="s">
        <v>24</v>
      </c>
      <c r="D9" s="17" t="s">
        <v>31</v>
      </c>
      <c r="E9" s="16" t="s">
        <v>32</v>
      </c>
      <c r="F9" s="18" t="n">
        <v>1.8</v>
      </c>
      <c r="G9" s="19" t="n">
        <v>248</v>
      </c>
      <c r="H9" s="19" t="n">
        <v>39</v>
      </c>
      <c r="I9" s="19" t="n">
        <v>138</v>
      </c>
      <c r="J9" s="19" t="n">
        <v>152</v>
      </c>
      <c r="K9" s="19" t="n">
        <v>147</v>
      </c>
      <c r="L9" s="19" t="n">
        <v>133</v>
      </c>
      <c r="M9" s="19" t="n">
        <v>164</v>
      </c>
      <c r="N9" s="19" t="n">
        <v>122</v>
      </c>
      <c r="O9" s="20" t="n">
        <f aca="false">SUM(I9:N9)</f>
        <v>856</v>
      </c>
      <c r="P9" s="21" t="n">
        <f aca="false">O9/6</f>
        <v>142.666666666667</v>
      </c>
      <c r="Q9" s="22" t="n">
        <v>45810</v>
      </c>
      <c r="R9" s="20" t="n">
        <f aca="false">DATE(2025,6,22)-Q9</f>
        <v>20</v>
      </c>
      <c r="S9" s="23" t="n">
        <f aca="false">G9*F9</f>
        <v>446.4</v>
      </c>
    </row>
    <row r="10" customFormat="false" ht="18" hidden="false" customHeight="true" outlineLevel="0" collapsed="false">
      <c r="A10" s="6" t="s">
        <v>35</v>
      </c>
      <c r="B10" s="7" t="s">
        <v>36</v>
      </c>
      <c r="C10" s="7" t="s">
        <v>24</v>
      </c>
      <c r="D10" s="8" t="s">
        <v>37</v>
      </c>
      <c r="E10" s="7" t="s">
        <v>38</v>
      </c>
      <c r="F10" s="9" t="n">
        <v>1.5</v>
      </c>
      <c r="G10" s="10" t="n">
        <v>24</v>
      </c>
      <c r="H10" s="10" t="n">
        <v>69</v>
      </c>
      <c r="I10" s="10" t="n">
        <v>460</v>
      </c>
      <c r="J10" s="10" t="n">
        <v>401</v>
      </c>
      <c r="K10" s="10" t="n">
        <v>427</v>
      </c>
      <c r="L10" s="10" t="n">
        <v>291</v>
      </c>
      <c r="M10" s="10" t="n">
        <v>329</v>
      </c>
      <c r="N10" s="10" t="n">
        <v>341</v>
      </c>
      <c r="O10" s="11" t="n">
        <f aca="false">SUM(I10:N10)</f>
        <v>2249</v>
      </c>
      <c r="P10" s="12" t="n">
        <f aca="false">O10/6</f>
        <v>374.833333333333</v>
      </c>
      <c r="Q10" s="13" t="n">
        <v>45826</v>
      </c>
      <c r="R10" s="11" t="n">
        <f aca="false">DATE(2025,6,22)-Q10</f>
        <v>4</v>
      </c>
      <c r="S10" s="14" t="n">
        <f aca="false">G10*F10</f>
        <v>36</v>
      </c>
    </row>
    <row r="11" customFormat="false" ht="18" hidden="false" customHeight="true" outlineLevel="0" collapsed="false">
      <c r="A11" s="15" t="s">
        <v>39</v>
      </c>
      <c r="B11" s="16" t="s">
        <v>40</v>
      </c>
      <c r="C11" s="16" t="s">
        <v>24</v>
      </c>
      <c r="D11" s="17" t="s">
        <v>37</v>
      </c>
      <c r="E11" s="16" t="s">
        <v>38</v>
      </c>
      <c r="F11" s="18" t="n">
        <v>1.65</v>
      </c>
      <c r="G11" s="19" t="n">
        <v>308</v>
      </c>
      <c r="H11" s="19" t="n">
        <v>31</v>
      </c>
      <c r="I11" s="19" t="n">
        <v>123</v>
      </c>
      <c r="J11" s="19" t="n">
        <v>150</v>
      </c>
      <c r="K11" s="19" t="n">
        <v>130</v>
      </c>
      <c r="L11" s="19" t="n">
        <v>130</v>
      </c>
      <c r="M11" s="19" t="n">
        <v>118</v>
      </c>
      <c r="N11" s="19" t="n">
        <v>122</v>
      </c>
      <c r="O11" s="20" t="n">
        <f aca="false">SUM(I11:N11)</f>
        <v>773</v>
      </c>
      <c r="P11" s="21" t="n">
        <f aca="false">O11/6</f>
        <v>128.833333333333</v>
      </c>
      <c r="Q11" s="22" t="n">
        <v>45810</v>
      </c>
      <c r="R11" s="20" t="n">
        <f aca="false">DATE(2025,6,22)-Q11</f>
        <v>20</v>
      </c>
      <c r="S11" s="23" t="n">
        <f aca="false">G11*F11</f>
        <v>508.2</v>
      </c>
    </row>
    <row r="12" customFormat="false" ht="18" hidden="false" customHeight="true" outlineLevel="0" collapsed="false">
      <c r="A12" s="6" t="s">
        <v>41</v>
      </c>
      <c r="B12" s="7" t="s">
        <v>42</v>
      </c>
      <c r="C12" s="7" t="s">
        <v>24</v>
      </c>
      <c r="D12" s="8" t="s">
        <v>43</v>
      </c>
      <c r="E12" s="7" t="s">
        <v>44</v>
      </c>
      <c r="F12" s="9" t="n">
        <v>1.4</v>
      </c>
      <c r="G12" s="10" t="n">
        <v>43</v>
      </c>
      <c r="H12" s="10" t="n">
        <v>6</v>
      </c>
      <c r="I12" s="10" t="n">
        <v>21</v>
      </c>
      <c r="J12" s="10" t="n">
        <v>28</v>
      </c>
      <c r="K12" s="10" t="n">
        <v>20</v>
      </c>
      <c r="L12" s="10" t="n">
        <v>23</v>
      </c>
      <c r="M12" s="10" t="n">
        <v>32</v>
      </c>
      <c r="N12" s="10" t="n">
        <v>27</v>
      </c>
      <c r="O12" s="11" t="n">
        <f aca="false">SUM(I12:N12)</f>
        <v>151</v>
      </c>
      <c r="P12" s="12" t="n">
        <f aca="false">O12/6</f>
        <v>25.1666666666667</v>
      </c>
      <c r="Q12" s="13" t="n">
        <v>45771</v>
      </c>
      <c r="R12" s="11" t="n">
        <f aca="false">DATE(2025,6,22)-Q12</f>
        <v>59</v>
      </c>
      <c r="S12" s="14" t="n">
        <f aca="false">G12*F12</f>
        <v>60.2</v>
      </c>
    </row>
    <row r="13" customFormat="false" ht="18" hidden="false" customHeight="true" outlineLevel="0" collapsed="false">
      <c r="A13" s="15" t="s">
        <v>45</v>
      </c>
      <c r="B13" s="16" t="s">
        <v>46</v>
      </c>
      <c r="C13" s="16" t="s">
        <v>24</v>
      </c>
      <c r="D13" s="17" t="s">
        <v>43</v>
      </c>
      <c r="E13" s="16" t="s">
        <v>44</v>
      </c>
      <c r="F13" s="18" t="n">
        <v>1.6</v>
      </c>
      <c r="G13" s="19" t="n">
        <v>333</v>
      </c>
      <c r="H13" s="19" t="n">
        <v>9</v>
      </c>
      <c r="I13" s="19" t="n">
        <v>47</v>
      </c>
      <c r="J13" s="19" t="n">
        <v>41</v>
      </c>
      <c r="K13" s="19" t="n">
        <v>49</v>
      </c>
      <c r="L13" s="19" t="n">
        <v>48</v>
      </c>
      <c r="M13" s="19" t="n">
        <v>46</v>
      </c>
      <c r="N13" s="19" t="n">
        <v>68</v>
      </c>
      <c r="O13" s="20" t="n">
        <f aca="false">SUM(I13:N13)</f>
        <v>299</v>
      </c>
      <c r="P13" s="21" t="n">
        <f aca="false">O13/6</f>
        <v>49.8333333333333</v>
      </c>
      <c r="Q13" s="22" t="n">
        <v>45809</v>
      </c>
      <c r="R13" s="20" t="n">
        <f aca="false">DATE(2025,6,22)-Q13</f>
        <v>21</v>
      </c>
      <c r="S13" s="23" t="n">
        <f aca="false">G13*F13</f>
        <v>532.8</v>
      </c>
    </row>
    <row r="14" customFormat="false" ht="18" hidden="false" customHeight="true" outlineLevel="0" collapsed="false">
      <c r="A14" s="6" t="s">
        <v>47</v>
      </c>
      <c r="B14" s="7" t="s">
        <v>48</v>
      </c>
      <c r="C14" s="7" t="s">
        <v>24</v>
      </c>
      <c r="D14" s="8" t="s">
        <v>49</v>
      </c>
      <c r="E14" s="7" t="s">
        <v>50</v>
      </c>
      <c r="F14" s="9" t="n">
        <v>2.9</v>
      </c>
      <c r="G14" s="10" t="n">
        <v>209</v>
      </c>
      <c r="H14" s="10" t="n">
        <v>39</v>
      </c>
      <c r="I14" s="10" t="n">
        <v>161</v>
      </c>
      <c r="J14" s="10" t="n">
        <v>209</v>
      </c>
      <c r="K14" s="10" t="n">
        <v>167</v>
      </c>
      <c r="L14" s="10" t="n">
        <v>149</v>
      </c>
      <c r="M14" s="10" t="n">
        <v>147</v>
      </c>
      <c r="N14" s="10" t="n">
        <v>176</v>
      </c>
      <c r="O14" s="11" t="n">
        <f aca="false">SUM(I14:N14)</f>
        <v>1009</v>
      </c>
      <c r="P14" s="12" t="n">
        <f aca="false">O14/6</f>
        <v>168.166666666667</v>
      </c>
      <c r="Q14" s="13" t="n">
        <v>45801</v>
      </c>
      <c r="R14" s="11" t="n">
        <f aca="false">DATE(2025,6,22)-Q14</f>
        <v>29</v>
      </c>
      <c r="S14" s="14" t="n">
        <f aca="false">G14*F14</f>
        <v>606.1</v>
      </c>
    </row>
    <row r="15" customFormat="false" ht="18" hidden="false" customHeight="true" outlineLevel="0" collapsed="false">
      <c r="A15" s="15" t="s">
        <v>51</v>
      </c>
      <c r="B15" s="16" t="s">
        <v>52</v>
      </c>
      <c r="C15" s="16" t="s">
        <v>24</v>
      </c>
      <c r="D15" s="17" t="s">
        <v>49</v>
      </c>
      <c r="E15" s="16" t="s">
        <v>50</v>
      </c>
      <c r="F15" s="18" t="n">
        <v>5.5</v>
      </c>
      <c r="G15" s="19" t="n">
        <v>162</v>
      </c>
      <c r="H15" s="19" t="n">
        <v>26</v>
      </c>
      <c r="I15" s="19" t="n">
        <v>134</v>
      </c>
      <c r="J15" s="19" t="n">
        <v>184</v>
      </c>
      <c r="K15" s="19" t="n">
        <v>117</v>
      </c>
      <c r="L15" s="19" t="n">
        <v>145</v>
      </c>
      <c r="M15" s="19" t="n">
        <v>165</v>
      </c>
      <c r="N15" s="19" t="n">
        <v>173</v>
      </c>
      <c r="O15" s="20" t="n">
        <f aca="false">SUM(I15:N15)</f>
        <v>918</v>
      </c>
      <c r="P15" s="21" t="n">
        <f aca="false">O15/6</f>
        <v>153</v>
      </c>
      <c r="Q15" s="22" t="n">
        <v>45808</v>
      </c>
      <c r="R15" s="20" t="n">
        <f aca="false">DATE(2025,6,22)-Q15</f>
        <v>22</v>
      </c>
      <c r="S15" s="23" t="n">
        <f aca="false">G15*F15</f>
        <v>891</v>
      </c>
    </row>
    <row r="16" customFormat="false" ht="18" hidden="false" customHeight="true" outlineLevel="0" collapsed="false">
      <c r="A16" s="6" t="s">
        <v>53</v>
      </c>
      <c r="B16" s="7" t="s">
        <v>54</v>
      </c>
      <c r="C16" s="7" t="s">
        <v>24</v>
      </c>
      <c r="D16" s="8" t="s">
        <v>49</v>
      </c>
      <c r="E16" s="7" t="s">
        <v>50</v>
      </c>
      <c r="F16" s="9" t="n">
        <v>3.2</v>
      </c>
      <c r="G16" s="10" t="n">
        <v>109</v>
      </c>
      <c r="H16" s="10" t="n">
        <v>5</v>
      </c>
      <c r="I16" s="10" t="n">
        <v>2</v>
      </c>
      <c r="J16" s="10" t="n">
        <v>2</v>
      </c>
      <c r="K16" s="10" t="n">
        <v>0</v>
      </c>
      <c r="L16" s="10" t="n">
        <v>2</v>
      </c>
      <c r="M16" s="10" t="n">
        <v>3</v>
      </c>
      <c r="N16" s="10" t="n">
        <v>1</v>
      </c>
      <c r="O16" s="11" t="n">
        <f aca="false">SUM(I16:N16)</f>
        <v>10</v>
      </c>
      <c r="P16" s="12" t="n">
        <f aca="false">O16/6</f>
        <v>1.66666666666667</v>
      </c>
      <c r="Q16" s="13" t="n">
        <v>45722</v>
      </c>
      <c r="R16" s="11" t="n">
        <f aca="false">DATE(2025,6,22)-Q16</f>
        <v>108</v>
      </c>
      <c r="S16" s="14" t="n">
        <f aca="false">G16*F16</f>
        <v>348.8</v>
      </c>
    </row>
    <row r="17" customFormat="false" ht="18" hidden="false" customHeight="true" outlineLevel="0" collapsed="false">
      <c r="A17" s="15" t="s">
        <v>55</v>
      </c>
      <c r="B17" s="16" t="s">
        <v>56</v>
      </c>
      <c r="C17" s="16" t="s">
        <v>24</v>
      </c>
      <c r="D17" s="17" t="s">
        <v>57</v>
      </c>
      <c r="E17" s="16" t="s">
        <v>58</v>
      </c>
      <c r="F17" s="18" t="n">
        <v>0.85</v>
      </c>
      <c r="G17" s="19" t="n">
        <v>88</v>
      </c>
      <c r="H17" s="19" t="n">
        <v>91</v>
      </c>
      <c r="I17" s="19" t="n">
        <v>428</v>
      </c>
      <c r="J17" s="19" t="n">
        <v>480</v>
      </c>
      <c r="K17" s="19" t="n">
        <v>437</v>
      </c>
      <c r="L17" s="19" t="n">
        <v>384</v>
      </c>
      <c r="M17" s="19" t="n">
        <v>302</v>
      </c>
      <c r="N17" s="19" t="n">
        <v>409</v>
      </c>
      <c r="O17" s="20" t="n">
        <f aca="false">SUM(I17:N17)</f>
        <v>2440</v>
      </c>
      <c r="P17" s="21" t="n">
        <f aca="false">O17/6</f>
        <v>406.666666666667</v>
      </c>
      <c r="Q17" s="22" t="n">
        <v>45823</v>
      </c>
      <c r="R17" s="20" t="n">
        <f aca="false">DATE(2025,6,22)-Q17</f>
        <v>7</v>
      </c>
      <c r="S17" s="23" t="n">
        <f aca="false">G17*F17</f>
        <v>74.8</v>
      </c>
    </row>
    <row r="18" customFormat="false" ht="18" hidden="false" customHeight="true" outlineLevel="0" collapsed="false">
      <c r="A18" s="6" t="s">
        <v>59</v>
      </c>
      <c r="B18" s="7" t="s">
        <v>60</v>
      </c>
      <c r="C18" s="7" t="s">
        <v>24</v>
      </c>
      <c r="D18" s="8" t="s">
        <v>57</v>
      </c>
      <c r="E18" s="7" t="s">
        <v>58</v>
      </c>
      <c r="F18" s="9" t="n">
        <v>0.8</v>
      </c>
      <c r="G18" s="10" t="n">
        <v>142</v>
      </c>
      <c r="H18" s="10" t="n">
        <v>14</v>
      </c>
      <c r="I18" s="10" t="n">
        <v>75</v>
      </c>
      <c r="J18" s="10" t="n">
        <v>66</v>
      </c>
      <c r="K18" s="10" t="n">
        <v>100</v>
      </c>
      <c r="L18" s="10" t="n">
        <v>99</v>
      </c>
      <c r="M18" s="10" t="n">
        <v>99</v>
      </c>
      <c r="N18" s="10" t="n">
        <v>85</v>
      </c>
      <c r="O18" s="11" t="n">
        <f aca="false">SUM(I18:N18)</f>
        <v>524</v>
      </c>
      <c r="P18" s="12" t="n">
        <f aca="false">O18/6</f>
        <v>87.3333333333333</v>
      </c>
      <c r="Q18" s="13" t="n">
        <v>45818</v>
      </c>
      <c r="R18" s="11" t="n">
        <f aca="false">DATE(2025,6,22)-Q18</f>
        <v>12</v>
      </c>
      <c r="S18" s="14" t="n">
        <f aca="false">G18*F18</f>
        <v>113.6</v>
      </c>
    </row>
    <row r="19" customFormat="false" ht="18" hidden="false" customHeight="true" outlineLevel="0" collapsed="false">
      <c r="A19" s="15" t="s">
        <v>61</v>
      </c>
      <c r="B19" s="16" t="s">
        <v>62</v>
      </c>
      <c r="C19" s="16" t="s">
        <v>24</v>
      </c>
      <c r="D19" s="17" t="s">
        <v>63</v>
      </c>
      <c r="E19" s="16" t="s">
        <v>64</v>
      </c>
      <c r="F19" s="18" t="n">
        <v>3.8</v>
      </c>
      <c r="G19" s="19" t="n">
        <v>288</v>
      </c>
      <c r="H19" s="19" t="n">
        <v>26</v>
      </c>
      <c r="I19" s="19" t="n">
        <v>104</v>
      </c>
      <c r="J19" s="19" t="n">
        <v>104</v>
      </c>
      <c r="K19" s="19" t="n">
        <v>125</v>
      </c>
      <c r="L19" s="19" t="n">
        <v>93</v>
      </c>
      <c r="M19" s="19" t="n">
        <v>136</v>
      </c>
      <c r="N19" s="19" t="n">
        <v>141</v>
      </c>
      <c r="O19" s="20" t="n">
        <f aca="false">SUM(I19:N19)</f>
        <v>703</v>
      </c>
      <c r="P19" s="21" t="n">
        <f aca="false">O19/6</f>
        <v>117.166666666667</v>
      </c>
      <c r="Q19" s="22" t="n">
        <v>45825</v>
      </c>
      <c r="R19" s="20" t="n">
        <f aca="false">DATE(2025,6,22)-Q19</f>
        <v>5</v>
      </c>
      <c r="S19" s="23" t="n">
        <f aca="false">G19*F19</f>
        <v>1094.4</v>
      </c>
    </row>
    <row r="20" customFormat="false" ht="18" hidden="false" customHeight="true" outlineLevel="0" collapsed="false">
      <c r="A20" s="6" t="s">
        <v>65</v>
      </c>
      <c r="B20" s="7" t="s">
        <v>66</v>
      </c>
      <c r="C20" s="7" t="s">
        <v>24</v>
      </c>
      <c r="D20" s="8" t="s">
        <v>63</v>
      </c>
      <c r="E20" s="7" t="s">
        <v>64</v>
      </c>
      <c r="F20" s="9" t="n">
        <v>7.2</v>
      </c>
      <c r="G20" s="10" t="n">
        <v>540</v>
      </c>
      <c r="H20" s="10" t="n">
        <v>20</v>
      </c>
      <c r="I20" s="10" t="n">
        <v>80</v>
      </c>
      <c r="J20" s="10" t="n">
        <v>91</v>
      </c>
      <c r="K20" s="10" t="n">
        <v>60</v>
      </c>
      <c r="L20" s="10" t="n">
        <v>74</v>
      </c>
      <c r="M20" s="10" t="n">
        <v>78</v>
      </c>
      <c r="N20" s="10" t="n">
        <v>92</v>
      </c>
      <c r="O20" s="11" t="n">
        <f aca="false">SUM(I20:N20)</f>
        <v>475</v>
      </c>
      <c r="P20" s="12" t="n">
        <f aca="false">O20/6</f>
        <v>79.1666666666667</v>
      </c>
      <c r="Q20" s="13" t="n">
        <v>45807</v>
      </c>
      <c r="R20" s="11" t="n">
        <f aca="false">DATE(2025,6,22)-Q20</f>
        <v>23</v>
      </c>
      <c r="S20" s="14" t="n">
        <f aca="false">G20*F20</f>
        <v>3888</v>
      </c>
    </row>
    <row r="21" customFormat="false" ht="18" hidden="false" customHeight="true" outlineLevel="0" collapsed="false">
      <c r="A21" s="15" t="s">
        <v>67</v>
      </c>
      <c r="B21" s="16" t="s">
        <v>68</v>
      </c>
      <c r="C21" s="16" t="s">
        <v>24</v>
      </c>
      <c r="D21" s="17" t="s">
        <v>69</v>
      </c>
      <c r="E21" s="16" t="s">
        <v>70</v>
      </c>
      <c r="F21" s="18" t="n">
        <v>4.5</v>
      </c>
      <c r="G21" s="19" t="n">
        <v>13</v>
      </c>
      <c r="H21" s="19" t="n">
        <v>5</v>
      </c>
      <c r="I21" s="19" t="n">
        <v>12</v>
      </c>
      <c r="J21" s="19" t="n">
        <v>10</v>
      </c>
      <c r="K21" s="19" t="n">
        <v>12</v>
      </c>
      <c r="L21" s="19" t="n">
        <v>10</v>
      </c>
      <c r="M21" s="19" t="n">
        <v>13</v>
      </c>
      <c r="N21" s="19" t="n">
        <v>10</v>
      </c>
      <c r="O21" s="20" t="n">
        <f aca="false">SUM(I21:N21)</f>
        <v>67</v>
      </c>
      <c r="P21" s="21" t="n">
        <f aca="false">O21/6</f>
        <v>11.1666666666667</v>
      </c>
      <c r="Q21" s="22" t="n">
        <v>45795</v>
      </c>
      <c r="R21" s="20" t="n">
        <f aca="false">DATE(2025,6,22)-Q21</f>
        <v>35</v>
      </c>
      <c r="S21" s="23" t="n">
        <f aca="false">G21*F21</f>
        <v>58.5</v>
      </c>
    </row>
    <row r="22" customFormat="false" ht="18" hidden="false" customHeight="true" outlineLevel="0" collapsed="false">
      <c r="A22" s="6" t="s">
        <v>71</v>
      </c>
      <c r="B22" s="7" t="s">
        <v>72</v>
      </c>
      <c r="C22" s="7" t="s">
        <v>24</v>
      </c>
      <c r="D22" s="8" t="s">
        <v>69</v>
      </c>
      <c r="E22" s="7" t="s">
        <v>70</v>
      </c>
      <c r="F22" s="9" t="n">
        <v>2.1</v>
      </c>
      <c r="G22" s="10" t="n">
        <v>117</v>
      </c>
      <c r="H22" s="10" t="n">
        <v>19</v>
      </c>
      <c r="I22" s="10" t="n">
        <v>105</v>
      </c>
      <c r="J22" s="10" t="n">
        <v>73</v>
      </c>
      <c r="K22" s="10" t="n">
        <v>111</v>
      </c>
      <c r="L22" s="10" t="n">
        <v>76</v>
      </c>
      <c r="M22" s="10" t="n">
        <v>77</v>
      </c>
      <c r="N22" s="10" t="n">
        <v>75</v>
      </c>
      <c r="O22" s="11" t="n">
        <f aca="false">SUM(I22:N22)</f>
        <v>517</v>
      </c>
      <c r="P22" s="12" t="n">
        <f aca="false">O22/6</f>
        <v>86.1666666666667</v>
      </c>
      <c r="Q22" s="13" t="n">
        <v>45821</v>
      </c>
      <c r="R22" s="11" t="n">
        <f aca="false">DATE(2025,6,22)-Q22</f>
        <v>9</v>
      </c>
      <c r="S22" s="14" t="n">
        <f aca="false">G22*F22</f>
        <v>245.7</v>
      </c>
    </row>
    <row r="23" customFormat="false" ht="18" hidden="false" customHeight="true" outlineLevel="0" collapsed="false">
      <c r="A23" s="15" t="s">
        <v>73</v>
      </c>
      <c r="B23" s="16" t="s">
        <v>74</v>
      </c>
      <c r="C23" s="16" t="s">
        <v>24</v>
      </c>
      <c r="D23" s="17" t="s">
        <v>75</v>
      </c>
      <c r="E23" s="16" t="s">
        <v>76</v>
      </c>
      <c r="F23" s="18" t="n">
        <v>1.9</v>
      </c>
      <c r="G23" s="19" t="n">
        <v>367</v>
      </c>
      <c r="H23" s="19" t="n">
        <v>30</v>
      </c>
      <c r="I23" s="19" t="n">
        <v>142</v>
      </c>
      <c r="J23" s="19" t="n">
        <v>134</v>
      </c>
      <c r="K23" s="19" t="n">
        <v>207</v>
      </c>
      <c r="L23" s="19" t="n">
        <v>174</v>
      </c>
      <c r="M23" s="19" t="n">
        <v>165</v>
      </c>
      <c r="N23" s="19" t="n">
        <v>193</v>
      </c>
      <c r="O23" s="20" t="n">
        <f aca="false">SUM(I23:N23)</f>
        <v>1015</v>
      </c>
      <c r="P23" s="21" t="n">
        <f aca="false">O23/6</f>
        <v>169.166666666667</v>
      </c>
      <c r="Q23" s="22" t="n">
        <v>45826</v>
      </c>
      <c r="R23" s="20" t="n">
        <f aca="false">DATE(2025,6,22)-Q23</f>
        <v>4</v>
      </c>
      <c r="S23" s="23" t="n">
        <f aca="false">G23*F23</f>
        <v>697.3</v>
      </c>
    </row>
    <row r="24" customFormat="false" ht="18" hidden="false" customHeight="true" outlineLevel="0" collapsed="false">
      <c r="A24" s="6" t="s">
        <v>77</v>
      </c>
      <c r="B24" s="7" t="s">
        <v>78</v>
      </c>
      <c r="C24" s="7" t="s">
        <v>24</v>
      </c>
      <c r="D24" s="8" t="s">
        <v>75</v>
      </c>
      <c r="E24" s="7" t="s">
        <v>76</v>
      </c>
      <c r="F24" s="9" t="n">
        <v>1.75</v>
      </c>
      <c r="G24" s="10" t="n">
        <v>710</v>
      </c>
      <c r="H24" s="10" t="n">
        <v>39</v>
      </c>
      <c r="I24" s="10" t="n">
        <v>141</v>
      </c>
      <c r="J24" s="10" t="n">
        <v>146</v>
      </c>
      <c r="K24" s="10" t="n">
        <v>183</v>
      </c>
      <c r="L24" s="10" t="n">
        <v>116</v>
      </c>
      <c r="M24" s="10" t="n">
        <v>166</v>
      </c>
      <c r="N24" s="10" t="n">
        <v>165</v>
      </c>
      <c r="O24" s="11" t="n">
        <f aca="false">SUM(I24:N24)</f>
        <v>917</v>
      </c>
      <c r="P24" s="12" t="n">
        <f aca="false">O24/6</f>
        <v>152.833333333333</v>
      </c>
      <c r="Q24" s="13" t="n">
        <v>45804</v>
      </c>
      <c r="R24" s="11" t="n">
        <f aca="false">DATE(2025,6,22)-Q24</f>
        <v>26</v>
      </c>
      <c r="S24" s="14" t="n">
        <f aca="false">G24*F24</f>
        <v>1242.5</v>
      </c>
    </row>
    <row r="25" customFormat="false" ht="18" hidden="false" customHeight="true" outlineLevel="0" collapsed="false">
      <c r="A25" s="15" t="s">
        <v>79</v>
      </c>
      <c r="B25" s="16" t="s">
        <v>80</v>
      </c>
      <c r="C25" s="16" t="s">
        <v>24</v>
      </c>
      <c r="D25" s="17" t="s">
        <v>81</v>
      </c>
      <c r="E25" s="16" t="s">
        <v>82</v>
      </c>
      <c r="F25" s="18" t="n">
        <v>1.3</v>
      </c>
      <c r="G25" s="19" t="n">
        <v>193</v>
      </c>
      <c r="H25" s="19" t="n">
        <v>5</v>
      </c>
      <c r="I25" s="19" t="n">
        <v>0</v>
      </c>
      <c r="J25" s="19" t="n">
        <v>0</v>
      </c>
      <c r="K25" s="19" t="n">
        <v>0</v>
      </c>
      <c r="L25" s="19" t="n">
        <v>0</v>
      </c>
      <c r="M25" s="19" t="n">
        <v>1</v>
      </c>
      <c r="N25" s="19" t="n">
        <v>1</v>
      </c>
      <c r="O25" s="20" t="n">
        <f aca="false">SUM(I25:N25)</f>
        <v>2</v>
      </c>
      <c r="P25" s="21" t="n">
        <f aca="false">O25/6</f>
        <v>0.333333333333333</v>
      </c>
      <c r="Q25" s="22" t="n">
        <v>45738</v>
      </c>
      <c r="R25" s="20" t="n">
        <f aca="false">DATE(2025,6,22)-Q25</f>
        <v>92</v>
      </c>
      <c r="S25" s="23" t="n">
        <f aca="false">G25*F25</f>
        <v>250.9</v>
      </c>
    </row>
    <row r="26" customFormat="false" ht="18" hidden="false" customHeight="true" outlineLevel="0" collapsed="false">
      <c r="A26" s="6" t="s">
        <v>83</v>
      </c>
      <c r="B26" s="7" t="s">
        <v>84</v>
      </c>
      <c r="C26" s="7" t="s">
        <v>24</v>
      </c>
      <c r="D26" s="8" t="s">
        <v>81</v>
      </c>
      <c r="E26" s="7" t="s">
        <v>82</v>
      </c>
      <c r="F26" s="9" t="n">
        <v>1.1</v>
      </c>
      <c r="G26" s="10" t="n">
        <v>209</v>
      </c>
      <c r="H26" s="10" t="n">
        <v>18</v>
      </c>
      <c r="I26" s="10" t="n">
        <v>115</v>
      </c>
      <c r="J26" s="10" t="n">
        <v>117</v>
      </c>
      <c r="K26" s="10" t="n">
        <v>79</v>
      </c>
      <c r="L26" s="10" t="n">
        <v>70</v>
      </c>
      <c r="M26" s="10" t="n">
        <v>90</v>
      </c>
      <c r="N26" s="10" t="n">
        <v>118</v>
      </c>
      <c r="O26" s="11" t="n">
        <f aca="false">SUM(I26:N26)</f>
        <v>589</v>
      </c>
      <c r="P26" s="12" t="n">
        <f aca="false">O26/6</f>
        <v>98.1666666666667</v>
      </c>
      <c r="Q26" s="13" t="n">
        <v>45807</v>
      </c>
      <c r="R26" s="11" t="n">
        <f aca="false">DATE(2025,6,22)-Q26</f>
        <v>23</v>
      </c>
      <c r="S26" s="14" t="n">
        <f aca="false">G26*F26</f>
        <v>229.9</v>
      </c>
    </row>
    <row r="27" customFormat="false" ht="18" hidden="false" customHeight="true" outlineLevel="0" collapsed="false">
      <c r="A27" s="15" t="s">
        <v>85</v>
      </c>
      <c r="B27" s="16" t="s">
        <v>86</v>
      </c>
      <c r="C27" s="16" t="s">
        <v>24</v>
      </c>
      <c r="D27" s="17" t="s">
        <v>87</v>
      </c>
      <c r="E27" s="16" t="s">
        <v>88</v>
      </c>
      <c r="F27" s="18" t="n">
        <v>3.4</v>
      </c>
      <c r="G27" s="19" t="n">
        <v>25</v>
      </c>
      <c r="H27" s="19" t="n">
        <v>105</v>
      </c>
      <c r="I27" s="19" t="n">
        <v>454</v>
      </c>
      <c r="J27" s="19" t="n">
        <v>466</v>
      </c>
      <c r="K27" s="19" t="n">
        <v>440</v>
      </c>
      <c r="L27" s="19" t="n">
        <v>401</v>
      </c>
      <c r="M27" s="19" t="n">
        <v>337</v>
      </c>
      <c r="N27" s="19" t="n">
        <v>343</v>
      </c>
      <c r="O27" s="20" t="n">
        <f aca="false">SUM(I27:N27)</f>
        <v>2441</v>
      </c>
      <c r="P27" s="21" t="n">
        <f aca="false">O27/6</f>
        <v>406.833333333333</v>
      </c>
      <c r="Q27" s="22" t="n">
        <v>45828</v>
      </c>
      <c r="R27" s="20" t="n">
        <f aca="false">DATE(2025,6,22)-Q27</f>
        <v>2</v>
      </c>
      <c r="S27" s="23" t="n">
        <f aca="false">G27*F27</f>
        <v>85</v>
      </c>
    </row>
    <row r="28" customFormat="false" ht="18" hidden="false" customHeight="true" outlineLevel="0" collapsed="false">
      <c r="A28" s="6" t="s">
        <v>89</v>
      </c>
      <c r="B28" s="7" t="s">
        <v>90</v>
      </c>
      <c r="C28" s="7" t="s">
        <v>24</v>
      </c>
      <c r="D28" s="8" t="s">
        <v>87</v>
      </c>
      <c r="E28" s="7" t="s">
        <v>88</v>
      </c>
      <c r="F28" s="9" t="n">
        <v>2.8</v>
      </c>
      <c r="G28" s="10" t="n">
        <v>115</v>
      </c>
      <c r="H28" s="10" t="n">
        <v>22</v>
      </c>
      <c r="I28" s="10" t="n">
        <v>93</v>
      </c>
      <c r="J28" s="10" t="n">
        <v>128</v>
      </c>
      <c r="K28" s="10" t="n">
        <v>123</v>
      </c>
      <c r="L28" s="10" t="n">
        <v>146</v>
      </c>
      <c r="M28" s="10" t="n">
        <v>100</v>
      </c>
      <c r="N28" s="10" t="n">
        <v>153</v>
      </c>
      <c r="O28" s="11" t="n">
        <f aca="false">SUM(I28:N28)</f>
        <v>743</v>
      </c>
      <c r="P28" s="12" t="n">
        <f aca="false">O28/6</f>
        <v>123.833333333333</v>
      </c>
      <c r="Q28" s="13" t="n">
        <v>45810</v>
      </c>
      <c r="R28" s="11" t="n">
        <f aca="false">DATE(2025,6,22)-Q28</f>
        <v>20</v>
      </c>
      <c r="S28" s="14" t="n">
        <f aca="false">G28*F28</f>
        <v>322</v>
      </c>
    </row>
    <row r="29" customFormat="false" ht="18" hidden="false" customHeight="true" outlineLevel="0" collapsed="false">
      <c r="A29" s="15" t="s">
        <v>91</v>
      </c>
      <c r="B29" s="16" t="s">
        <v>92</v>
      </c>
      <c r="C29" s="16" t="s">
        <v>24</v>
      </c>
      <c r="D29" s="17" t="s">
        <v>93</v>
      </c>
      <c r="E29" s="16" t="s">
        <v>94</v>
      </c>
      <c r="F29" s="18" t="n">
        <v>1.6</v>
      </c>
      <c r="G29" s="19" t="n">
        <v>12</v>
      </c>
      <c r="H29" s="19" t="n">
        <v>5</v>
      </c>
      <c r="I29" s="19" t="n">
        <v>7</v>
      </c>
      <c r="J29" s="19" t="n">
        <v>6</v>
      </c>
      <c r="K29" s="19" t="n">
        <v>5</v>
      </c>
      <c r="L29" s="19" t="n">
        <v>8</v>
      </c>
      <c r="M29" s="19" t="n">
        <v>6</v>
      </c>
      <c r="N29" s="19" t="n">
        <v>7</v>
      </c>
      <c r="O29" s="20" t="n">
        <f aca="false">SUM(I29:N29)</f>
        <v>39</v>
      </c>
      <c r="P29" s="21" t="n">
        <f aca="false">O29/6</f>
        <v>6.5</v>
      </c>
      <c r="Q29" s="22" t="n">
        <v>45777</v>
      </c>
      <c r="R29" s="20" t="n">
        <f aca="false">DATE(2025,6,22)-Q29</f>
        <v>53</v>
      </c>
      <c r="S29" s="23" t="n">
        <f aca="false">G29*F29</f>
        <v>19.2</v>
      </c>
    </row>
    <row r="30" customFormat="false" ht="18" hidden="false" customHeight="true" outlineLevel="0" collapsed="false">
      <c r="A30" s="6" t="s">
        <v>95</v>
      </c>
      <c r="B30" s="7" t="s">
        <v>96</v>
      </c>
      <c r="C30" s="7" t="s">
        <v>24</v>
      </c>
      <c r="D30" s="8" t="s">
        <v>93</v>
      </c>
      <c r="E30" s="7" t="s">
        <v>94</v>
      </c>
      <c r="F30" s="9" t="n">
        <v>1.7</v>
      </c>
      <c r="G30" s="10" t="n">
        <v>304</v>
      </c>
      <c r="H30" s="10" t="n">
        <v>35</v>
      </c>
      <c r="I30" s="10" t="n">
        <v>159</v>
      </c>
      <c r="J30" s="10" t="n">
        <v>154</v>
      </c>
      <c r="K30" s="10" t="n">
        <v>193</v>
      </c>
      <c r="L30" s="10" t="n">
        <v>159</v>
      </c>
      <c r="M30" s="10" t="n">
        <v>155</v>
      </c>
      <c r="N30" s="10" t="n">
        <v>142</v>
      </c>
      <c r="O30" s="11" t="n">
        <f aca="false">SUM(I30:N30)</f>
        <v>962</v>
      </c>
      <c r="P30" s="12" t="n">
        <f aca="false">O30/6</f>
        <v>160.333333333333</v>
      </c>
      <c r="Q30" s="13" t="n">
        <v>45800</v>
      </c>
      <c r="R30" s="11" t="n">
        <f aca="false">DATE(2025,6,22)-Q30</f>
        <v>30</v>
      </c>
      <c r="S30" s="14" t="n">
        <f aca="false">G30*F30</f>
        <v>516.8</v>
      </c>
    </row>
    <row r="31" customFormat="false" ht="19.5" hidden="false" customHeight="true" outlineLevel="0" collapsed="false">
      <c r="A31" s="5" t="s">
        <v>97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customFormat="false" ht="18" hidden="false" customHeight="true" outlineLevel="0" collapsed="false">
      <c r="A32" s="6" t="s">
        <v>98</v>
      </c>
      <c r="B32" s="7" t="s">
        <v>99</v>
      </c>
      <c r="C32" s="7" t="s">
        <v>100</v>
      </c>
      <c r="D32" s="8" t="s">
        <v>101</v>
      </c>
      <c r="E32" s="7" t="s">
        <v>102</v>
      </c>
      <c r="F32" s="9" t="n">
        <v>1.2</v>
      </c>
      <c r="G32" s="10" t="n">
        <v>267</v>
      </c>
      <c r="H32" s="10" t="n">
        <v>11</v>
      </c>
      <c r="I32" s="10" t="n">
        <v>43</v>
      </c>
      <c r="J32" s="10" t="n">
        <v>63</v>
      </c>
      <c r="K32" s="10" t="n">
        <v>61</v>
      </c>
      <c r="L32" s="10" t="n">
        <v>46</v>
      </c>
      <c r="M32" s="10" t="n">
        <v>60</v>
      </c>
      <c r="N32" s="10" t="n">
        <v>59</v>
      </c>
      <c r="O32" s="11" t="n">
        <f aca="false">SUM(I32:N32)</f>
        <v>332</v>
      </c>
      <c r="P32" s="12" t="n">
        <f aca="false">O32/6</f>
        <v>55.3333333333333</v>
      </c>
      <c r="Q32" s="13" t="n">
        <v>45827</v>
      </c>
      <c r="R32" s="11" t="n">
        <f aca="false">DATE(2025,6,22)-Q32</f>
        <v>3</v>
      </c>
      <c r="S32" s="14" t="n">
        <f aca="false">G32*F32</f>
        <v>320.4</v>
      </c>
    </row>
    <row r="33" customFormat="false" ht="18" hidden="false" customHeight="true" outlineLevel="0" collapsed="false">
      <c r="A33" s="15" t="s">
        <v>103</v>
      </c>
      <c r="B33" s="16" t="s">
        <v>104</v>
      </c>
      <c r="C33" s="16" t="s">
        <v>100</v>
      </c>
      <c r="D33" s="17" t="s">
        <v>101</v>
      </c>
      <c r="E33" s="16" t="s">
        <v>102</v>
      </c>
      <c r="F33" s="18" t="n">
        <v>1.8</v>
      </c>
      <c r="G33" s="19" t="n">
        <v>210</v>
      </c>
      <c r="H33" s="19" t="n">
        <v>16</v>
      </c>
      <c r="I33" s="19" t="n">
        <v>97</v>
      </c>
      <c r="J33" s="19" t="n">
        <v>85</v>
      </c>
      <c r="K33" s="19" t="n">
        <v>123</v>
      </c>
      <c r="L33" s="19" t="n">
        <v>115</v>
      </c>
      <c r="M33" s="19" t="n">
        <v>110</v>
      </c>
      <c r="N33" s="19" t="n">
        <v>131</v>
      </c>
      <c r="O33" s="20" t="n">
        <f aca="false">SUM(I33:N33)</f>
        <v>661</v>
      </c>
      <c r="P33" s="21" t="n">
        <f aca="false">O33/6</f>
        <v>110.166666666667</v>
      </c>
      <c r="Q33" s="22" t="n">
        <v>45803</v>
      </c>
      <c r="R33" s="20" t="n">
        <f aca="false">DATE(2025,6,22)-Q33</f>
        <v>27</v>
      </c>
      <c r="S33" s="23" t="n">
        <f aca="false">G33*F33</f>
        <v>378</v>
      </c>
    </row>
    <row r="34" customFormat="false" ht="18" hidden="false" customHeight="true" outlineLevel="0" collapsed="false">
      <c r="A34" s="6" t="s">
        <v>105</v>
      </c>
      <c r="B34" s="7" t="s">
        <v>106</v>
      </c>
      <c r="C34" s="7" t="s">
        <v>100</v>
      </c>
      <c r="D34" s="8" t="s">
        <v>107</v>
      </c>
      <c r="E34" s="7" t="s">
        <v>108</v>
      </c>
      <c r="F34" s="9" t="n">
        <v>2.4</v>
      </c>
      <c r="G34" s="10" t="n">
        <v>135</v>
      </c>
      <c r="H34" s="10" t="n">
        <v>24</v>
      </c>
      <c r="I34" s="10" t="n">
        <v>146</v>
      </c>
      <c r="J34" s="10" t="n">
        <v>93</v>
      </c>
      <c r="K34" s="10" t="n">
        <v>143</v>
      </c>
      <c r="L34" s="10" t="n">
        <v>103</v>
      </c>
      <c r="M34" s="10" t="n">
        <v>143</v>
      </c>
      <c r="N34" s="10" t="n">
        <v>134</v>
      </c>
      <c r="O34" s="11" t="n">
        <f aca="false">SUM(I34:N34)</f>
        <v>762</v>
      </c>
      <c r="P34" s="12" t="n">
        <f aca="false">O34/6</f>
        <v>127</v>
      </c>
      <c r="Q34" s="13" t="n">
        <v>45823</v>
      </c>
      <c r="R34" s="11" t="n">
        <f aca="false">DATE(2025,6,22)-Q34</f>
        <v>7</v>
      </c>
      <c r="S34" s="14" t="n">
        <f aca="false">G34*F34</f>
        <v>324</v>
      </c>
    </row>
    <row r="35" customFormat="false" ht="18" hidden="false" customHeight="true" outlineLevel="0" collapsed="false">
      <c r="A35" s="15" t="s">
        <v>109</v>
      </c>
      <c r="B35" s="16" t="s">
        <v>110</v>
      </c>
      <c r="C35" s="16" t="s">
        <v>100</v>
      </c>
      <c r="D35" s="17" t="s">
        <v>107</v>
      </c>
      <c r="E35" s="16" t="s">
        <v>108</v>
      </c>
      <c r="F35" s="18" t="n">
        <v>4.2</v>
      </c>
      <c r="G35" s="19" t="n">
        <v>14</v>
      </c>
      <c r="H35" s="19" t="n">
        <v>5</v>
      </c>
      <c r="I35" s="19" t="n">
        <v>12</v>
      </c>
      <c r="J35" s="19" t="n">
        <v>16</v>
      </c>
      <c r="K35" s="19" t="n">
        <v>13</v>
      </c>
      <c r="L35" s="19" t="n">
        <v>15</v>
      </c>
      <c r="M35" s="19" t="n">
        <v>18</v>
      </c>
      <c r="N35" s="19" t="n">
        <v>18</v>
      </c>
      <c r="O35" s="20" t="n">
        <f aca="false">SUM(I35:N35)</f>
        <v>92</v>
      </c>
      <c r="P35" s="21" t="n">
        <f aca="false">O35/6</f>
        <v>15.3333333333333</v>
      </c>
      <c r="Q35" s="22" t="n">
        <v>45787</v>
      </c>
      <c r="R35" s="20" t="n">
        <f aca="false">DATE(2025,6,22)-Q35</f>
        <v>43</v>
      </c>
      <c r="S35" s="23" t="n">
        <f aca="false">G35*F35</f>
        <v>58.8</v>
      </c>
    </row>
    <row r="36" customFormat="false" ht="18" hidden="false" customHeight="true" outlineLevel="0" collapsed="false">
      <c r="A36" s="6" t="s">
        <v>111</v>
      </c>
      <c r="B36" s="7" t="s">
        <v>112</v>
      </c>
      <c r="C36" s="7" t="s">
        <v>100</v>
      </c>
      <c r="D36" s="8" t="s">
        <v>113</v>
      </c>
      <c r="E36" s="7" t="s">
        <v>114</v>
      </c>
      <c r="F36" s="9" t="n">
        <v>4.8</v>
      </c>
      <c r="G36" s="10" t="n">
        <v>78</v>
      </c>
      <c r="H36" s="10" t="n">
        <v>7</v>
      </c>
      <c r="I36" s="10" t="n">
        <v>38</v>
      </c>
      <c r="J36" s="10" t="n">
        <v>59</v>
      </c>
      <c r="K36" s="10" t="n">
        <v>56</v>
      </c>
      <c r="L36" s="10" t="n">
        <v>45</v>
      </c>
      <c r="M36" s="10" t="n">
        <v>59</v>
      </c>
      <c r="N36" s="10" t="n">
        <v>53</v>
      </c>
      <c r="O36" s="11" t="n">
        <f aca="false">SUM(I36:N36)</f>
        <v>310</v>
      </c>
      <c r="P36" s="12" t="n">
        <f aca="false">O36/6</f>
        <v>51.6666666666667</v>
      </c>
      <c r="Q36" s="13" t="n">
        <v>45827</v>
      </c>
      <c r="R36" s="11" t="n">
        <f aca="false">DATE(2025,6,22)-Q36</f>
        <v>3</v>
      </c>
      <c r="S36" s="14" t="n">
        <f aca="false">G36*F36</f>
        <v>374.4</v>
      </c>
    </row>
    <row r="37" customFormat="false" ht="18" hidden="false" customHeight="true" outlineLevel="0" collapsed="false">
      <c r="A37" s="15" t="s">
        <v>115</v>
      </c>
      <c r="B37" s="16" t="s">
        <v>116</v>
      </c>
      <c r="C37" s="16" t="s">
        <v>100</v>
      </c>
      <c r="D37" s="17" t="s">
        <v>113</v>
      </c>
      <c r="E37" s="16" t="s">
        <v>114</v>
      </c>
      <c r="F37" s="18" t="n">
        <v>13.5</v>
      </c>
      <c r="G37" s="19" t="n">
        <v>512</v>
      </c>
      <c r="H37" s="19" t="n">
        <v>20</v>
      </c>
      <c r="I37" s="19" t="n">
        <v>81</v>
      </c>
      <c r="J37" s="19" t="n">
        <v>94</v>
      </c>
      <c r="K37" s="19" t="n">
        <v>83</v>
      </c>
      <c r="L37" s="19" t="n">
        <v>64</v>
      </c>
      <c r="M37" s="19" t="n">
        <v>63</v>
      </c>
      <c r="N37" s="19" t="n">
        <v>71</v>
      </c>
      <c r="O37" s="20" t="n">
        <f aca="false">SUM(I37:N37)</f>
        <v>456</v>
      </c>
      <c r="P37" s="21" t="n">
        <f aca="false">O37/6</f>
        <v>76</v>
      </c>
      <c r="Q37" s="22" t="n">
        <v>45802</v>
      </c>
      <c r="R37" s="20" t="n">
        <f aca="false">DATE(2025,6,22)-Q37</f>
        <v>28</v>
      </c>
      <c r="S37" s="23" t="n">
        <f aca="false">G37*F37</f>
        <v>6912</v>
      </c>
    </row>
    <row r="38" customFormat="false" ht="18" hidden="false" customHeight="true" outlineLevel="0" collapsed="false">
      <c r="A38" s="6" t="s">
        <v>117</v>
      </c>
      <c r="B38" s="7" t="s">
        <v>118</v>
      </c>
      <c r="C38" s="7" t="s">
        <v>100</v>
      </c>
      <c r="D38" s="8" t="s">
        <v>119</v>
      </c>
      <c r="E38" s="7" t="s">
        <v>120</v>
      </c>
      <c r="F38" s="9" t="n">
        <v>3.6</v>
      </c>
      <c r="G38" s="10" t="n">
        <v>76</v>
      </c>
      <c r="H38" s="10" t="n">
        <v>12</v>
      </c>
      <c r="I38" s="10" t="n">
        <v>62</v>
      </c>
      <c r="J38" s="10" t="n">
        <v>43</v>
      </c>
      <c r="K38" s="10" t="n">
        <v>44</v>
      </c>
      <c r="L38" s="10" t="n">
        <v>40</v>
      </c>
      <c r="M38" s="10" t="n">
        <v>58</v>
      </c>
      <c r="N38" s="10" t="n">
        <v>61</v>
      </c>
      <c r="O38" s="11" t="n">
        <f aca="false">SUM(I38:N38)</f>
        <v>308</v>
      </c>
      <c r="P38" s="12" t="n">
        <f aca="false">O38/6</f>
        <v>51.3333333333333</v>
      </c>
      <c r="Q38" s="13" t="n">
        <v>45825</v>
      </c>
      <c r="R38" s="11" t="n">
        <f aca="false">DATE(2025,6,22)-Q38</f>
        <v>5</v>
      </c>
      <c r="S38" s="14" t="n">
        <f aca="false">G38*F38</f>
        <v>273.6</v>
      </c>
    </row>
    <row r="39" customFormat="false" ht="18" hidden="false" customHeight="true" outlineLevel="0" collapsed="false">
      <c r="A39" s="15" t="s">
        <v>121</v>
      </c>
      <c r="B39" s="16" t="s">
        <v>122</v>
      </c>
      <c r="C39" s="16" t="s">
        <v>100</v>
      </c>
      <c r="D39" s="17" t="s">
        <v>119</v>
      </c>
      <c r="E39" s="16" t="s">
        <v>120</v>
      </c>
      <c r="F39" s="18" t="n">
        <v>6.2</v>
      </c>
      <c r="G39" s="19" t="n">
        <v>185</v>
      </c>
      <c r="H39" s="19" t="n">
        <v>5</v>
      </c>
      <c r="I39" s="19" t="n">
        <v>1</v>
      </c>
      <c r="J39" s="19" t="n">
        <v>2</v>
      </c>
      <c r="K39" s="19" t="n">
        <v>1</v>
      </c>
      <c r="L39" s="19" t="n">
        <v>0</v>
      </c>
      <c r="M39" s="19" t="n">
        <v>3</v>
      </c>
      <c r="N39" s="19" t="n">
        <v>0</v>
      </c>
      <c r="O39" s="20" t="n">
        <f aca="false">SUM(I39:N39)</f>
        <v>7</v>
      </c>
      <c r="P39" s="21" t="n">
        <f aca="false">O39/6</f>
        <v>1.16666666666667</v>
      </c>
      <c r="Q39" s="22" t="n">
        <v>45754</v>
      </c>
      <c r="R39" s="20" t="n">
        <f aca="false">DATE(2025,6,22)-Q39</f>
        <v>76</v>
      </c>
      <c r="S39" s="23" t="n">
        <f aca="false">G39*F39</f>
        <v>1147</v>
      </c>
    </row>
    <row r="40" customFormat="false" ht="18" hidden="false" customHeight="true" outlineLevel="0" collapsed="false">
      <c r="A40" s="6" t="s">
        <v>123</v>
      </c>
      <c r="B40" s="7" t="s">
        <v>124</v>
      </c>
      <c r="C40" s="7" t="s">
        <v>100</v>
      </c>
      <c r="D40" s="8" t="s">
        <v>125</v>
      </c>
      <c r="E40" s="7" t="s">
        <v>126</v>
      </c>
      <c r="F40" s="9" t="n">
        <v>2.9</v>
      </c>
      <c r="G40" s="10" t="n">
        <v>101</v>
      </c>
      <c r="H40" s="10" t="n">
        <v>17</v>
      </c>
      <c r="I40" s="10" t="n">
        <v>109</v>
      </c>
      <c r="J40" s="10" t="n">
        <v>91</v>
      </c>
      <c r="K40" s="10" t="n">
        <v>83</v>
      </c>
      <c r="L40" s="10" t="n">
        <v>108</v>
      </c>
      <c r="M40" s="10" t="n">
        <v>79</v>
      </c>
      <c r="N40" s="10" t="n">
        <v>69</v>
      </c>
      <c r="O40" s="11" t="n">
        <f aca="false">SUM(I40:N40)</f>
        <v>539</v>
      </c>
      <c r="P40" s="12" t="n">
        <f aca="false">O40/6</f>
        <v>89.8333333333333</v>
      </c>
      <c r="Q40" s="13" t="n">
        <v>45802</v>
      </c>
      <c r="R40" s="11" t="n">
        <f aca="false">DATE(2025,6,22)-Q40</f>
        <v>28</v>
      </c>
      <c r="S40" s="14" t="n">
        <f aca="false">G40*F40</f>
        <v>292.9</v>
      </c>
    </row>
    <row r="41" customFormat="false" ht="18" hidden="false" customHeight="true" outlineLevel="0" collapsed="false">
      <c r="A41" s="15" t="s">
        <v>127</v>
      </c>
      <c r="B41" s="16" t="s">
        <v>128</v>
      </c>
      <c r="C41" s="16" t="s">
        <v>100</v>
      </c>
      <c r="D41" s="17" t="s">
        <v>125</v>
      </c>
      <c r="E41" s="16" t="s">
        <v>126</v>
      </c>
      <c r="F41" s="18" t="n">
        <v>3.1</v>
      </c>
      <c r="G41" s="19" t="n">
        <v>43</v>
      </c>
      <c r="H41" s="19" t="n">
        <v>30</v>
      </c>
      <c r="I41" s="19" t="n">
        <v>214</v>
      </c>
      <c r="J41" s="19" t="n">
        <v>150</v>
      </c>
      <c r="K41" s="19" t="n">
        <v>184</v>
      </c>
      <c r="L41" s="19" t="n">
        <v>161</v>
      </c>
      <c r="M41" s="19" t="n">
        <v>215</v>
      </c>
      <c r="N41" s="19" t="n">
        <v>174</v>
      </c>
      <c r="O41" s="20" t="n">
        <f aca="false">SUM(I41:N41)</f>
        <v>1098</v>
      </c>
      <c r="P41" s="21" t="n">
        <f aca="false">O41/6</f>
        <v>183</v>
      </c>
      <c r="Q41" s="22" t="n">
        <v>45821</v>
      </c>
      <c r="R41" s="20" t="n">
        <f aca="false">DATE(2025,6,22)-Q41</f>
        <v>9</v>
      </c>
      <c r="S41" s="23" t="n">
        <f aca="false">G41*F41</f>
        <v>133.3</v>
      </c>
    </row>
    <row r="42" customFormat="false" ht="18" hidden="false" customHeight="true" outlineLevel="0" collapsed="false">
      <c r="A42" s="6" t="s">
        <v>129</v>
      </c>
      <c r="B42" s="7" t="s">
        <v>130</v>
      </c>
      <c r="C42" s="7" t="s">
        <v>100</v>
      </c>
      <c r="D42" s="8" t="s">
        <v>131</v>
      </c>
      <c r="E42" s="7" t="s">
        <v>132</v>
      </c>
      <c r="F42" s="9" t="n">
        <v>3.5</v>
      </c>
      <c r="G42" s="10" t="n">
        <v>137</v>
      </c>
      <c r="H42" s="10" t="n">
        <v>26</v>
      </c>
      <c r="I42" s="10" t="n">
        <v>90</v>
      </c>
      <c r="J42" s="10" t="n">
        <v>109</v>
      </c>
      <c r="K42" s="10" t="n">
        <v>65</v>
      </c>
      <c r="L42" s="10" t="n">
        <v>91</v>
      </c>
      <c r="M42" s="10" t="n">
        <v>79</v>
      </c>
      <c r="N42" s="10" t="n">
        <v>100</v>
      </c>
      <c r="O42" s="11" t="n">
        <f aca="false">SUM(I42:N42)</f>
        <v>534</v>
      </c>
      <c r="P42" s="12" t="n">
        <f aca="false">O42/6</f>
        <v>89</v>
      </c>
      <c r="Q42" s="13" t="n">
        <v>45826</v>
      </c>
      <c r="R42" s="11" t="n">
        <f aca="false">DATE(2025,6,22)-Q42</f>
        <v>4</v>
      </c>
      <c r="S42" s="14" t="n">
        <f aca="false">G42*F42</f>
        <v>479.5</v>
      </c>
    </row>
    <row r="43" customFormat="false" ht="18" hidden="false" customHeight="true" outlineLevel="0" collapsed="false">
      <c r="A43" s="15" t="s">
        <v>133</v>
      </c>
      <c r="B43" s="16" t="s">
        <v>134</v>
      </c>
      <c r="C43" s="16" t="s">
        <v>100</v>
      </c>
      <c r="D43" s="17" t="s">
        <v>131</v>
      </c>
      <c r="E43" s="16" t="s">
        <v>132</v>
      </c>
      <c r="F43" s="18" t="n">
        <v>2.7</v>
      </c>
      <c r="G43" s="19" t="n">
        <v>274</v>
      </c>
      <c r="H43" s="19" t="n">
        <v>40</v>
      </c>
      <c r="I43" s="19" t="n">
        <v>171</v>
      </c>
      <c r="J43" s="19" t="n">
        <v>117</v>
      </c>
      <c r="K43" s="19" t="n">
        <v>106</v>
      </c>
      <c r="L43" s="19" t="n">
        <v>136</v>
      </c>
      <c r="M43" s="19" t="n">
        <v>142</v>
      </c>
      <c r="N43" s="19" t="n">
        <v>164</v>
      </c>
      <c r="O43" s="20" t="n">
        <f aca="false">SUM(I43:N43)</f>
        <v>836</v>
      </c>
      <c r="P43" s="21" t="n">
        <f aca="false">O43/6</f>
        <v>139.333333333333</v>
      </c>
      <c r="Q43" s="22" t="n">
        <v>45806</v>
      </c>
      <c r="R43" s="20" t="n">
        <f aca="false">DATE(2025,6,22)-Q43</f>
        <v>24</v>
      </c>
      <c r="S43" s="23" t="n">
        <f aca="false">G43*F43</f>
        <v>739.8</v>
      </c>
    </row>
    <row r="44" customFormat="false" ht="18" hidden="false" customHeight="true" outlineLevel="0" collapsed="false">
      <c r="A44" s="6" t="s">
        <v>135</v>
      </c>
      <c r="B44" s="7" t="s">
        <v>136</v>
      </c>
      <c r="C44" s="7" t="s">
        <v>100</v>
      </c>
      <c r="D44" s="8" t="s">
        <v>137</v>
      </c>
      <c r="E44" s="7" t="s">
        <v>138</v>
      </c>
      <c r="F44" s="9" t="n">
        <v>2.2</v>
      </c>
      <c r="G44" s="10" t="n">
        <v>556</v>
      </c>
      <c r="H44" s="10" t="n">
        <v>17</v>
      </c>
      <c r="I44" s="10" t="n">
        <v>85</v>
      </c>
      <c r="J44" s="10" t="n">
        <v>70</v>
      </c>
      <c r="K44" s="10" t="n">
        <v>100</v>
      </c>
      <c r="L44" s="10" t="n">
        <v>83</v>
      </c>
      <c r="M44" s="10" t="n">
        <v>83</v>
      </c>
      <c r="N44" s="10" t="n">
        <v>109</v>
      </c>
      <c r="O44" s="11" t="n">
        <f aca="false">SUM(I44:N44)</f>
        <v>530</v>
      </c>
      <c r="P44" s="12" t="n">
        <f aca="false">O44/6</f>
        <v>88.3333333333333</v>
      </c>
      <c r="Q44" s="13" t="n">
        <v>45820</v>
      </c>
      <c r="R44" s="11" t="n">
        <f aca="false">DATE(2025,6,22)-Q44</f>
        <v>10</v>
      </c>
      <c r="S44" s="14" t="n">
        <f aca="false">G44*F44</f>
        <v>1223.2</v>
      </c>
    </row>
    <row r="45" customFormat="false" ht="18" hidden="false" customHeight="true" outlineLevel="0" collapsed="false">
      <c r="A45" s="15" t="s">
        <v>139</v>
      </c>
      <c r="B45" s="16" t="s">
        <v>140</v>
      </c>
      <c r="C45" s="16" t="s">
        <v>100</v>
      </c>
      <c r="D45" s="17" t="s">
        <v>137</v>
      </c>
      <c r="E45" s="16" t="s">
        <v>138</v>
      </c>
      <c r="F45" s="18" t="n">
        <v>3.8</v>
      </c>
      <c r="G45" s="19" t="n">
        <v>36</v>
      </c>
      <c r="H45" s="19" t="n">
        <v>5</v>
      </c>
      <c r="I45" s="19" t="n">
        <v>16</v>
      </c>
      <c r="J45" s="19" t="n">
        <v>20</v>
      </c>
      <c r="K45" s="19" t="n">
        <v>18</v>
      </c>
      <c r="L45" s="19" t="n">
        <v>15</v>
      </c>
      <c r="M45" s="19" t="n">
        <v>20</v>
      </c>
      <c r="N45" s="19" t="n">
        <v>17</v>
      </c>
      <c r="O45" s="20" t="n">
        <f aca="false">SUM(I45:N45)</f>
        <v>106</v>
      </c>
      <c r="P45" s="21" t="n">
        <f aca="false">O45/6</f>
        <v>17.6666666666667</v>
      </c>
      <c r="Q45" s="22" t="n">
        <v>45777</v>
      </c>
      <c r="R45" s="20" t="n">
        <f aca="false">DATE(2025,6,22)-Q45</f>
        <v>53</v>
      </c>
      <c r="S45" s="23" t="n">
        <f aca="false">G45*F45</f>
        <v>136.8</v>
      </c>
    </row>
    <row r="46" customFormat="false" ht="18" hidden="false" customHeight="true" outlineLevel="0" collapsed="false">
      <c r="A46" s="6" t="s">
        <v>141</v>
      </c>
      <c r="B46" s="7" t="s">
        <v>142</v>
      </c>
      <c r="C46" s="7" t="s">
        <v>100</v>
      </c>
      <c r="D46" s="8" t="s">
        <v>143</v>
      </c>
      <c r="E46" s="7" t="s">
        <v>144</v>
      </c>
      <c r="F46" s="9" t="n">
        <v>8.5</v>
      </c>
      <c r="G46" s="10" t="n">
        <v>163</v>
      </c>
      <c r="H46" s="10" t="n">
        <v>26</v>
      </c>
      <c r="I46" s="10" t="n">
        <v>113</v>
      </c>
      <c r="J46" s="10" t="n">
        <v>141</v>
      </c>
      <c r="K46" s="10" t="n">
        <v>107</v>
      </c>
      <c r="L46" s="10" t="n">
        <v>101</v>
      </c>
      <c r="M46" s="10" t="n">
        <v>138</v>
      </c>
      <c r="N46" s="10" t="n">
        <v>126</v>
      </c>
      <c r="O46" s="11" t="n">
        <f aca="false">SUM(I46:N46)</f>
        <v>726</v>
      </c>
      <c r="P46" s="12" t="n">
        <f aca="false">O46/6</f>
        <v>121</v>
      </c>
      <c r="Q46" s="13" t="n">
        <v>45808</v>
      </c>
      <c r="R46" s="11" t="n">
        <f aca="false">DATE(2025,6,22)-Q46</f>
        <v>22</v>
      </c>
      <c r="S46" s="14" t="n">
        <f aca="false">G46*F46</f>
        <v>1385.5</v>
      </c>
    </row>
    <row r="47" customFormat="false" ht="18" hidden="false" customHeight="true" outlineLevel="0" collapsed="false">
      <c r="A47" s="15" t="s">
        <v>145</v>
      </c>
      <c r="B47" s="16" t="s">
        <v>146</v>
      </c>
      <c r="C47" s="16" t="s">
        <v>100</v>
      </c>
      <c r="D47" s="17" t="s">
        <v>143</v>
      </c>
      <c r="E47" s="16" t="s">
        <v>144</v>
      </c>
      <c r="F47" s="18" t="n">
        <v>12</v>
      </c>
      <c r="G47" s="19" t="n">
        <v>200</v>
      </c>
      <c r="H47" s="19" t="n">
        <v>25</v>
      </c>
      <c r="I47" s="19" t="n">
        <v>96</v>
      </c>
      <c r="J47" s="19" t="n">
        <v>111</v>
      </c>
      <c r="K47" s="19" t="n">
        <v>120</v>
      </c>
      <c r="L47" s="19" t="n">
        <v>108</v>
      </c>
      <c r="M47" s="19" t="n">
        <v>104</v>
      </c>
      <c r="N47" s="19" t="n">
        <v>85</v>
      </c>
      <c r="O47" s="20" t="n">
        <f aca="false">SUM(I47:N47)</f>
        <v>624</v>
      </c>
      <c r="P47" s="21" t="n">
        <f aca="false">O47/6</f>
        <v>104</v>
      </c>
      <c r="Q47" s="22" t="n">
        <v>45827</v>
      </c>
      <c r="R47" s="20" t="n">
        <f aca="false">DATE(2025,6,22)-Q47</f>
        <v>3</v>
      </c>
      <c r="S47" s="23" t="n">
        <f aca="false">G47*F47</f>
        <v>2400</v>
      </c>
    </row>
    <row r="48" customFormat="false" ht="18" hidden="false" customHeight="true" outlineLevel="0" collapsed="false">
      <c r="A48" s="6" t="s">
        <v>147</v>
      </c>
      <c r="B48" s="7" t="s">
        <v>148</v>
      </c>
      <c r="C48" s="7" t="s">
        <v>100</v>
      </c>
      <c r="D48" s="8" t="s">
        <v>149</v>
      </c>
      <c r="E48" s="7" t="s">
        <v>150</v>
      </c>
      <c r="F48" s="9" t="n">
        <v>2.8</v>
      </c>
      <c r="G48" s="10" t="n">
        <v>606</v>
      </c>
      <c r="H48" s="10" t="n">
        <v>14</v>
      </c>
      <c r="I48" s="10" t="n">
        <v>112</v>
      </c>
      <c r="J48" s="10" t="n">
        <v>87</v>
      </c>
      <c r="K48" s="10" t="n">
        <v>85</v>
      </c>
      <c r="L48" s="10" t="n">
        <v>76</v>
      </c>
      <c r="M48" s="10" t="n">
        <v>88</v>
      </c>
      <c r="N48" s="10" t="n">
        <v>101</v>
      </c>
      <c r="O48" s="11" t="n">
        <f aca="false">SUM(I48:N48)</f>
        <v>549</v>
      </c>
      <c r="P48" s="12" t="n">
        <f aca="false">O48/6</f>
        <v>91.5</v>
      </c>
      <c r="Q48" s="13" t="n">
        <v>45816</v>
      </c>
      <c r="R48" s="11" t="n">
        <f aca="false">DATE(2025,6,22)-Q48</f>
        <v>14</v>
      </c>
      <c r="S48" s="14" t="n">
        <f aca="false">G48*F48</f>
        <v>1696.8</v>
      </c>
    </row>
    <row r="49" customFormat="false" ht="18" hidden="false" customHeight="true" outlineLevel="0" collapsed="false">
      <c r="A49" s="15" t="s">
        <v>151</v>
      </c>
      <c r="B49" s="16" t="s">
        <v>152</v>
      </c>
      <c r="C49" s="16" t="s">
        <v>100</v>
      </c>
      <c r="D49" s="17" t="s">
        <v>149</v>
      </c>
      <c r="E49" s="16" t="s">
        <v>150</v>
      </c>
      <c r="F49" s="18" t="n">
        <v>3.2</v>
      </c>
      <c r="G49" s="19" t="n">
        <v>209</v>
      </c>
      <c r="H49" s="19" t="n">
        <v>26</v>
      </c>
      <c r="I49" s="19" t="n">
        <v>101</v>
      </c>
      <c r="J49" s="19" t="n">
        <v>85</v>
      </c>
      <c r="K49" s="19" t="n">
        <v>86</v>
      </c>
      <c r="L49" s="19" t="n">
        <v>73</v>
      </c>
      <c r="M49" s="19" t="n">
        <v>100</v>
      </c>
      <c r="N49" s="19" t="n">
        <v>110</v>
      </c>
      <c r="O49" s="20" t="n">
        <f aca="false">SUM(I49:N49)</f>
        <v>555</v>
      </c>
      <c r="P49" s="21" t="n">
        <f aca="false">O49/6</f>
        <v>92.5</v>
      </c>
      <c r="Q49" s="22" t="n">
        <v>45805</v>
      </c>
      <c r="R49" s="20" t="n">
        <f aca="false">DATE(2025,6,22)-Q49</f>
        <v>25</v>
      </c>
      <c r="S49" s="23" t="n">
        <f aca="false">G49*F49</f>
        <v>668.8</v>
      </c>
    </row>
    <row r="50" customFormat="false" ht="18" hidden="false" customHeight="true" outlineLevel="0" collapsed="false">
      <c r="A50" s="6" t="s">
        <v>153</v>
      </c>
      <c r="B50" s="7" t="s">
        <v>154</v>
      </c>
      <c r="C50" s="7" t="s">
        <v>100</v>
      </c>
      <c r="D50" s="8" t="s">
        <v>155</v>
      </c>
      <c r="E50" s="7" t="s">
        <v>156</v>
      </c>
      <c r="F50" s="9" t="n">
        <v>3.6</v>
      </c>
      <c r="G50" s="10" t="n">
        <v>20</v>
      </c>
      <c r="H50" s="10" t="n">
        <v>47</v>
      </c>
      <c r="I50" s="10" t="n">
        <v>224</v>
      </c>
      <c r="J50" s="10" t="n">
        <v>307</v>
      </c>
      <c r="K50" s="10" t="n">
        <v>292</v>
      </c>
      <c r="L50" s="10" t="n">
        <v>259</v>
      </c>
      <c r="M50" s="10" t="n">
        <v>272</v>
      </c>
      <c r="N50" s="10" t="n">
        <v>323</v>
      </c>
      <c r="O50" s="11" t="n">
        <f aca="false">SUM(I50:N50)</f>
        <v>1677</v>
      </c>
      <c r="P50" s="12" t="n">
        <f aca="false">O50/6</f>
        <v>279.5</v>
      </c>
      <c r="Q50" s="13" t="n">
        <v>45815</v>
      </c>
      <c r="R50" s="11" t="n">
        <f aca="false">DATE(2025,6,22)-Q50</f>
        <v>15</v>
      </c>
      <c r="S50" s="14" t="n">
        <f aca="false">G50*F50</f>
        <v>72</v>
      </c>
    </row>
    <row r="51" customFormat="false" ht="18" hidden="false" customHeight="true" outlineLevel="0" collapsed="false">
      <c r="A51" s="15" t="s">
        <v>157</v>
      </c>
      <c r="B51" s="16" t="s">
        <v>158</v>
      </c>
      <c r="C51" s="16" t="s">
        <v>100</v>
      </c>
      <c r="D51" s="17" t="s">
        <v>155</v>
      </c>
      <c r="E51" s="16" t="s">
        <v>156</v>
      </c>
      <c r="F51" s="18" t="n">
        <v>9.8</v>
      </c>
      <c r="G51" s="19" t="n">
        <v>343</v>
      </c>
      <c r="H51" s="19" t="n">
        <v>56</v>
      </c>
      <c r="I51" s="19" t="n">
        <v>226</v>
      </c>
      <c r="J51" s="19" t="n">
        <v>188</v>
      </c>
      <c r="K51" s="19" t="n">
        <v>222</v>
      </c>
      <c r="L51" s="19" t="n">
        <v>217</v>
      </c>
      <c r="M51" s="19" t="n">
        <v>190</v>
      </c>
      <c r="N51" s="19" t="n">
        <v>200</v>
      </c>
      <c r="O51" s="20" t="n">
        <f aca="false">SUM(I51:N51)</f>
        <v>1243</v>
      </c>
      <c r="P51" s="21" t="n">
        <f aca="false">O51/6</f>
        <v>207.166666666667</v>
      </c>
      <c r="Q51" s="22" t="n">
        <v>45812</v>
      </c>
      <c r="R51" s="20" t="n">
        <f aca="false">DATE(2025,6,22)-Q51</f>
        <v>18</v>
      </c>
      <c r="S51" s="23" t="n">
        <f aca="false">G51*F51</f>
        <v>3361.4</v>
      </c>
    </row>
    <row r="52" customFormat="false" ht="18" hidden="false" customHeight="true" outlineLevel="0" collapsed="false">
      <c r="A52" s="6" t="s">
        <v>159</v>
      </c>
      <c r="B52" s="7" t="s">
        <v>160</v>
      </c>
      <c r="C52" s="7" t="s">
        <v>100</v>
      </c>
      <c r="D52" s="8" t="s">
        <v>161</v>
      </c>
      <c r="E52" s="7" t="s">
        <v>156</v>
      </c>
      <c r="F52" s="9" t="n">
        <v>1.9</v>
      </c>
      <c r="G52" s="10" t="n">
        <v>338</v>
      </c>
      <c r="H52" s="10" t="n">
        <v>36</v>
      </c>
      <c r="I52" s="10" t="n">
        <v>191</v>
      </c>
      <c r="J52" s="10" t="n">
        <v>178</v>
      </c>
      <c r="K52" s="10" t="n">
        <v>155</v>
      </c>
      <c r="L52" s="10" t="n">
        <v>137</v>
      </c>
      <c r="M52" s="10" t="n">
        <v>136</v>
      </c>
      <c r="N52" s="10" t="n">
        <v>169</v>
      </c>
      <c r="O52" s="11" t="n">
        <f aca="false">SUM(I52:N52)</f>
        <v>966</v>
      </c>
      <c r="P52" s="12" t="n">
        <f aca="false">O52/6</f>
        <v>161</v>
      </c>
      <c r="Q52" s="13" t="n">
        <v>45809</v>
      </c>
      <c r="R52" s="11" t="n">
        <f aca="false">DATE(2025,6,22)-Q52</f>
        <v>21</v>
      </c>
      <c r="S52" s="14" t="n">
        <f aca="false">G52*F52</f>
        <v>642.2</v>
      </c>
    </row>
    <row r="53" customFormat="false" ht="18" hidden="false" customHeight="true" outlineLevel="0" collapsed="false">
      <c r="A53" s="15" t="s">
        <v>162</v>
      </c>
      <c r="B53" s="16" t="s">
        <v>163</v>
      </c>
      <c r="C53" s="16" t="s">
        <v>100</v>
      </c>
      <c r="D53" s="17" t="s">
        <v>161</v>
      </c>
      <c r="E53" s="16" t="s">
        <v>156</v>
      </c>
      <c r="F53" s="18" t="n">
        <v>3.4</v>
      </c>
      <c r="G53" s="19" t="n">
        <v>10</v>
      </c>
      <c r="H53" s="19" t="n">
        <v>5</v>
      </c>
      <c r="I53" s="19" t="n">
        <v>10</v>
      </c>
      <c r="J53" s="19" t="n">
        <v>9</v>
      </c>
      <c r="K53" s="19" t="n">
        <v>10</v>
      </c>
      <c r="L53" s="19" t="n">
        <v>10</v>
      </c>
      <c r="M53" s="19" t="n">
        <v>11</v>
      </c>
      <c r="N53" s="19" t="n">
        <v>12</v>
      </c>
      <c r="O53" s="20" t="n">
        <f aca="false">SUM(I53:N53)</f>
        <v>62</v>
      </c>
      <c r="P53" s="21" t="n">
        <f aca="false">O53/6</f>
        <v>10.3333333333333</v>
      </c>
      <c r="Q53" s="22" t="n">
        <v>45773</v>
      </c>
      <c r="R53" s="20" t="n">
        <f aca="false">DATE(2025,6,22)-Q53</f>
        <v>57</v>
      </c>
      <c r="S53" s="23" t="n">
        <f aca="false">G53*F53</f>
        <v>34</v>
      </c>
    </row>
    <row r="54" customFormat="false" ht="18" hidden="false" customHeight="true" outlineLevel="0" collapsed="false">
      <c r="A54" s="6" t="s">
        <v>164</v>
      </c>
      <c r="B54" s="7" t="s">
        <v>165</v>
      </c>
      <c r="C54" s="7" t="s">
        <v>100</v>
      </c>
      <c r="D54" s="8" t="s">
        <v>166</v>
      </c>
      <c r="E54" s="7" t="s">
        <v>138</v>
      </c>
      <c r="F54" s="9" t="n">
        <v>4.2</v>
      </c>
      <c r="G54" s="10" t="n">
        <v>229</v>
      </c>
      <c r="H54" s="10" t="n">
        <v>5</v>
      </c>
      <c r="I54" s="10" t="n">
        <v>0</v>
      </c>
      <c r="J54" s="10" t="n">
        <v>3</v>
      </c>
      <c r="K54" s="10" t="n">
        <v>3</v>
      </c>
      <c r="L54" s="10" t="n">
        <v>0</v>
      </c>
      <c r="M54" s="10" t="n">
        <v>2</v>
      </c>
      <c r="N54" s="10" t="n">
        <v>2</v>
      </c>
      <c r="O54" s="11" t="n">
        <f aca="false">SUM(I54:N54)</f>
        <v>10</v>
      </c>
      <c r="P54" s="12" t="n">
        <f aca="false">O54/6</f>
        <v>1.66666666666667</v>
      </c>
      <c r="Q54" s="13" t="n">
        <v>45714</v>
      </c>
      <c r="R54" s="11" t="n">
        <f aca="false">DATE(2025,6,22)-Q54</f>
        <v>116</v>
      </c>
      <c r="S54" s="14" t="n">
        <f aca="false">G54*F54</f>
        <v>961.8</v>
      </c>
    </row>
    <row r="55" customFormat="false" ht="18" hidden="false" customHeight="true" outlineLevel="0" collapsed="false">
      <c r="A55" s="15" t="s">
        <v>167</v>
      </c>
      <c r="B55" s="16" t="s">
        <v>168</v>
      </c>
      <c r="C55" s="16" t="s">
        <v>100</v>
      </c>
      <c r="D55" s="17" t="s">
        <v>166</v>
      </c>
      <c r="E55" s="16" t="s">
        <v>138</v>
      </c>
      <c r="F55" s="18" t="n">
        <v>2.6</v>
      </c>
      <c r="G55" s="19" t="n">
        <v>259</v>
      </c>
      <c r="H55" s="19" t="n">
        <v>33</v>
      </c>
      <c r="I55" s="19" t="n">
        <v>153</v>
      </c>
      <c r="J55" s="19" t="n">
        <v>169</v>
      </c>
      <c r="K55" s="19" t="n">
        <v>174</v>
      </c>
      <c r="L55" s="19" t="n">
        <v>182</v>
      </c>
      <c r="M55" s="19" t="n">
        <v>149</v>
      </c>
      <c r="N55" s="19" t="n">
        <v>132</v>
      </c>
      <c r="O55" s="20" t="n">
        <f aca="false">SUM(I55:N55)</f>
        <v>959</v>
      </c>
      <c r="P55" s="21" t="n">
        <f aca="false">O55/6</f>
        <v>159.833333333333</v>
      </c>
      <c r="Q55" s="22" t="n">
        <v>45808</v>
      </c>
      <c r="R55" s="20" t="n">
        <f aca="false">DATE(2025,6,22)-Q55</f>
        <v>22</v>
      </c>
      <c r="S55" s="23" t="n">
        <f aca="false">G55*F55</f>
        <v>673.4</v>
      </c>
    </row>
    <row r="56" customFormat="false" ht="18" hidden="false" customHeight="true" outlineLevel="0" collapsed="false">
      <c r="A56" s="6" t="s">
        <v>169</v>
      </c>
      <c r="B56" s="7" t="s">
        <v>170</v>
      </c>
      <c r="C56" s="7" t="s">
        <v>100</v>
      </c>
      <c r="D56" s="8" t="s">
        <v>166</v>
      </c>
      <c r="E56" s="7" t="s">
        <v>138</v>
      </c>
      <c r="F56" s="9" t="n">
        <v>2.6</v>
      </c>
      <c r="G56" s="10" t="n">
        <v>309</v>
      </c>
      <c r="H56" s="10" t="n">
        <v>42</v>
      </c>
      <c r="I56" s="10" t="n">
        <v>164</v>
      </c>
      <c r="J56" s="10" t="n">
        <v>173</v>
      </c>
      <c r="K56" s="10" t="n">
        <v>179</v>
      </c>
      <c r="L56" s="10" t="n">
        <v>184</v>
      </c>
      <c r="M56" s="10" t="n">
        <v>149</v>
      </c>
      <c r="N56" s="10" t="n">
        <v>178</v>
      </c>
      <c r="O56" s="11" t="n">
        <f aca="false">SUM(I56:N56)</f>
        <v>1027</v>
      </c>
      <c r="P56" s="12" t="n">
        <f aca="false">O56/6</f>
        <v>171.166666666667</v>
      </c>
      <c r="Q56" s="13" t="n">
        <v>45827</v>
      </c>
      <c r="R56" s="11" t="n">
        <f aca="false">DATE(2025,6,22)-Q56</f>
        <v>3</v>
      </c>
      <c r="S56" s="14" t="n">
        <f aca="false">G56*F56</f>
        <v>803.4</v>
      </c>
    </row>
    <row r="57" customFormat="false" ht="19.5" hidden="false" customHeight="true" outlineLevel="0" collapsed="false">
      <c r="A57" s="5" t="s">
        <v>171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 customFormat="false" ht="18" hidden="false" customHeight="true" outlineLevel="0" collapsed="false">
      <c r="A58" s="6" t="s">
        <v>172</v>
      </c>
      <c r="B58" s="7" t="s">
        <v>173</v>
      </c>
      <c r="C58" s="7" t="s">
        <v>174</v>
      </c>
      <c r="D58" s="8" t="s">
        <v>175</v>
      </c>
      <c r="E58" s="7" t="s">
        <v>176</v>
      </c>
      <c r="F58" s="9" t="n">
        <v>3.2</v>
      </c>
      <c r="G58" s="10" t="n">
        <v>848</v>
      </c>
      <c r="H58" s="10" t="n">
        <v>27</v>
      </c>
      <c r="I58" s="10" t="n">
        <v>122</v>
      </c>
      <c r="J58" s="10" t="n">
        <v>149</v>
      </c>
      <c r="K58" s="10" t="n">
        <v>115</v>
      </c>
      <c r="L58" s="10" t="n">
        <v>142</v>
      </c>
      <c r="M58" s="10" t="n">
        <v>129</v>
      </c>
      <c r="N58" s="10" t="n">
        <v>138</v>
      </c>
      <c r="O58" s="11" t="n">
        <f aca="false">SUM(I58:N58)</f>
        <v>795</v>
      </c>
      <c r="P58" s="12" t="n">
        <f aca="false">O58/6</f>
        <v>132.5</v>
      </c>
      <c r="Q58" s="13" t="n">
        <v>45805</v>
      </c>
      <c r="R58" s="11" t="n">
        <f aca="false">DATE(2025,6,22)-Q58</f>
        <v>25</v>
      </c>
      <c r="S58" s="14" t="n">
        <f aca="false">G58*F58</f>
        <v>2713.6</v>
      </c>
    </row>
    <row r="59" customFormat="false" ht="18" hidden="false" customHeight="true" outlineLevel="0" collapsed="false">
      <c r="A59" s="15" t="s">
        <v>177</v>
      </c>
      <c r="B59" s="16" t="s">
        <v>178</v>
      </c>
      <c r="C59" s="16" t="s">
        <v>174</v>
      </c>
      <c r="D59" s="17" t="s">
        <v>175</v>
      </c>
      <c r="E59" s="16" t="s">
        <v>176</v>
      </c>
      <c r="F59" s="18" t="n">
        <v>4.5</v>
      </c>
      <c r="G59" s="19" t="n">
        <v>31</v>
      </c>
      <c r="H59" s="19" t="n">
        <v>5</v>
      </c>
      <c r="I59" s="19" t="n">
        <v>15</v>
      </c>
      <c r="J59" s="19" t="n">
        <v>14</v>
      </c>
      <c r="K59" s="19" t="n">
        <v>13</v>
      </c>
      <c r="L59" s="19" t="n">
        <v>18</v>
      </c>
      <c r="M59" s="19" t="n">
        <v>23</v>
      </c>
      <c r="N59" s="19" t="n">
        <v>16</v>
      </c>
      <c r="O59" s="20" t="n">
        <f aca="false">SUM(I59:N59)</f>
        <v>99</v>
      </c>
      <c r="P59" s="21" t="n">
        <f aca="false">O59/6</f>
        <v>16.5</v>
      </c>
      <c r="Q59" s="22" t="n">
        <v>45775</v>
      </c>
      <c r="R59" s="20" t="n">
        <f aca="false">DATE(2025,6,22)-Q59</f>
        <v>55</v>
      </c>
      <c r="S59" s="23" t="n">
        <f aca="false">G59*F59</f>
        <v>139.5</v>
      </c>
    </row>
    <row r="60" customFormat="false" ht="18" hidden="false" customHeight="true" outlineLevel="0" collapsed="false">
      <c r="A60" s="6" t="s">
        <v>179</v>
      </c>
      <c r="B60" s="7" t="s">
        <v>180</v>
      </c>
      <c r="C60" s="7" t="s">
        <v>174</v>
      </c>
      <c r="D60" s="8" t="s">
        <v>181</v>
      </c>
      <c r="E60" s="7" t="s">
        <v>182</v>
      </c>
      <c r="F60" s="9" t="n">
        <v>5.8</v>
      </c>
      <c r="G60" s="10" t="n">
        <v>91</v>
      </c>
      <c r="H60" s="10" t="n">
        <v>11</v>
      </c>
      <c r="I60" s="10" t="n">
        <v>58</v>
      </c>
      <c r="J60" s="10" t="n">
        <v>63</v>
      </c>
      <c r="K60" s="10" t="n">
        <v>42</v>
      </c>
      <c r="L60" s="10" t="n">
        <v>38</v>
      </c>
      <c r="M60" s="10" t="n">
        <v>41</v>
      </c>
      <c r="N60" s="10" t="n">
        <v>40</v>
      </c>
      <c r="O60" s="11" t="n">
        <f aca="false">SUM(I60:N60)</f>
        <v>282</v>
      </c>
      <c r="P60" s="12" t="n">
        <f aca="false">O60/6</f>
        <v>47</v>
      </c>
      <c r="Q60" s="13" t="n">
        <v>45823</v>
      </c>
      <c r="R60" s="11" t="n">
        <f aca="false">DATE(2025,6,22)-Q60</f>
        <v>7</v>
      </c>
      <c r="S60" s="14" t="n">
        <f aca="false">G60*F60</f>
        <v>527.8</v>
      </c>
    </row>
    <row r="61" customFormat="false" ht="18" hidden="false" customHeight="true" outlineLevel="0" collapsed="false">
      <c r="A61" s="15" t="s">
        <v>183</v>
      </c>
      <c r="B61" s="16" t="s">
        <v>184</v>
      </c>
      <c r="C61" s="16" t="s">
        <v>174</v>
      </c>
      <c r="D61" s="17" t="s">
        <v>181</v>
      </c>
      <c r="E61" s="16" t="s">
        <v>182</v>
      </c>
      <c r="F61" s="18" t="n">
        <v>5.8</v>
      </c>
      <c r="G61" s="19" t="n">
        <v>359</v>
      </c>
      <c r="H61" s="19" t="n">
        <v>48</v>
      </c>
      <c r="I61" s="19" t="n">
        <v>180</v>
      </c>
      <c r="J61" s="19" t="n">
        <v>186</v>
      </c>
      <c r="K61" s="19" t="n">
        <v>133</v>
      </c>
      <c r="L61" s="19" t="n">
        <v>172</v>
      </c>
      <c r="M61" s="19" t="n">
        <v>184</v>
      </c>
      <c r="N61" s="19" t="n">
        <v>129</v>
      </c>
      <c r="O61" s="20" t="n">
        <f aca="false">SUM(I61:N61)</f>
        <v>984</v>
      </c>
      <c r="P61" s="21" t="n">
        <f aca="false">O61/6</f>
        <v>164</v>
      </c>
      <c r="Q61" s="22" t="n">
        <v>45826</v>
      </c>
      <c r="R61" s="20" t="n">
        <f aca="false">DATE(2025,6,22)-Q61</f>
        <v>4</v>
      </c>
      <c r="S61" s="23" t="n">
        <f aca="false">G61*F61</f>
        <v>2082.2</v>
      </c>
    </row>
    <row r="62" customFormat="false" ht="18" hidden="false" customHeight="true" outlineLevel="0" collapsed="false">
      <c r="A62" s="6" t="s">
        <v>185</v>
      </c>
      <c r="B62" s="7" t="s">
        <v>186</v>
      </c>
      <c r="C62" s="7" t="s">
        <v>174</v>
      </c>
      <c r="D62" s="8" t="s">
        <v>187</v>
      </c>
      <c r="E62" s="7" t="s">
        <v>188</v>
      </c>
      <c r="F62" s="9" t="n">
        <v>2.4</v>
      </c>
      <c r="G62" s="10" t="n">
        <v>20</v>
      </c>
      <c r="H62" s="10" t="n">
        <v>77</v>
      </c>
      <c r="I62" s="10" t="n">
        <v>227</v>
      </c>
      <c r="J62" s="10" t="n">
        <v>274</v>
      </c>
      <c r="K62" s="10" t="n">
        <v>334</v>
      </c>
      <c r="L62" s="10" t="n">
        <v>380</v>
      </c>
      <c r="M62" s="10" t="n">
        <v>288</v>
      </c>
      <c r="N62" s="10" t="n">
        <v>340</v>
      </c>
      <c r="O62" s="11" t="n">
        <f aca="false">SUM(I62:N62)</f>
        <v>1843</v>
      </c>
      <c r="P62" s="12" t="n">
        <f aca="false">O62/6</f>
        <v>307.166666666667</v>
      </c>
      <c r="Q62" s="13" t="n">
        <v>45809</v>
      </c>
      <c r="R62" s="11" t="n">
        <f aca="false">DATE(2025,6,22)-Q62</f>
        <v>21</v>
      </c>
      <c r="S62" s="14" t="n">
        <f aca="false">G62*F62</f>
        <v>48</v>
      </c>
    </row>
    <row r="63" customFormat="false" ht="18" hidden="false" customHeight="true" outlineLevel="0" collapsed="false">
      <c r="A63" s="15" t="s">
        <v>189</v>
      </c>
      <c r="B63" s="16" t="s">
        <v>190</v>
      </c>
      <c r="C63" s="16" t="s">
        <v>174</v>
      </c>
      <c r="D63" s="17" t="s">
        <v>187</v>
      </c>
      <c r="E63" s="16" t="s">
        <v>188</v>
      </c>
      <c r="F63" s="18" t="n">
        <v>3.8</v>
      </c>
      <c r="G63" s="19" t="n">
        <v>230</v>
      </c>
      <c r="H63" s="19" t="n">
        <v>21</v>
      </c>
      <c r="I63" s="19" t="n">
        <v>82</v>
      </c>
      <c r="J63" s="19" t="n">
        <v>119</v>
      </c>
      <c r="K63" s="19" t="n">
        <v>124</v>
      </c>
      <c r="L63" s="19" t="n">
        <v>110</v>
      </c>
      <c r="M63" s="19" t="n">
        <v>83</v>
      </c>
      <c r="N63" s="19" t="n">
        <v>131</v>
      </c>
      <c r="O63" s="20" t="n">
        <f aca="false">SUM(I63:N63)</f>
        <v>649</v>
      </c>
      <c r="P63" s="21" t="n">
        <f aca="false">O63/6</f>
        <v>108.166666666667</v>
      </c>
      <c r="Q63" s="22" t="n">
        <v>45816</v>
      </c>
      <c r="R63" s="20" t="n">
        <f aca="false">DATE(2025,6,22)-Q63</f>
        <v>14</v>
      </c>
      <c r="S63" s="23" t="n">
        <f aca="false">G63*F63</f>
        <v>874</v>
      </c>
    </row>
    <row r="64" customFormat="false" ht="18" hidden="false" customHeight="true" outlineLevel="0" collapsed="false">
      <c r="A64" s="6" t="s">
        <v>191</v>
      </c>
      <c r="B64" s="7" t="s">
        <v>192</v>
      </c>
      <c r="C64" s="7" t="s">
        <v>174</v>
      </c>
      <c r="D64" s="8" t="s">
        <v>193</v>
      </c>
      <c r="E64" s="7" t="s">
        <v>194</v>
      </c>
      <c r="F64" s="9" t="n">
        <v>3.6</v>
      </c>
      <c r="G64" s="10" t="n">
        <v>678</v>
      </c>
      <c r="H64" s="10" t="n">
        <v>35</v>
      </c>
      <c r="I64" s="10" t="n">
        <v>105</v>
      </c>
      <c r="J64" s="10" t="n">
        <v>148</v>
      </c>
      <c r="K64" s="10" t="n">
        <v>101</v>
      </c>
      <c r="L64" s="10" t="n">
        <v>131</v>
      </c>
      <c r="M64" s="10" t="n">
        <v>136</v>
      </c>
      <c r="N64" s="10" t="n">
        <v>132</v>
      </c>
      <c r="O64" s="11" t="n">
        <f aca="false">SUM(I64:N64)</f>
        <v>753</v>
      </c>
      <c r="P64" s="12" t="n">
        <f aca="false">O64/6</f>
        <v>125.5</v>
      </c>
      <c r="Q64" s="13" t="n">
        <v>45815</v>
      </c>
      <c r="R64" s="11" t="n">
        <f aca="false">DATE(2025,6,22)-Q64</f>
        <v>15</v>
      </c>
      <c r="S64" s="14" t="n">
        <f aca="false">G64*F64</f>
        <v>2440.8</v>
      </c>
    </row>
    <row r="65" customFormat="false" ht="18" hidden="false" customHeight="true" outlineLevel="0" collapsed="false">
      <c r="A65" s="15" t="s">
        <v>195</v>
      </c>
      <c r="B65" s="16" t="s">
        <v>196</v>
      </c>
      <c r="C65" s="16" t="s">
        <v>174</v>
      </c>
      <c r="D65" s="17" t="s">
        <v>197</v>
      </c>
      <c r="E65" s="16" t="s">
        <v>108</v>
      </c>
      <c r="F65" s="18" t="n">
        <v>3.9</v>
      </c>
      <c r="G65" s="19" t="n">
        <v>139</v>
      </c>
      <c r="H65" s="19" t="n">
        <v>18</v>
      </c>
      <c r="I65" s="19" t="n">
        <v>78</v>
      </c>
      <c r="J65" s="19" t="n">
        <v>91</v>
      </c>
      <c r="K65" s="19" t="n">
        <v>101</v>
      </c>
      <c r="L65" s="19" t="n">
        <v>70</v>
      </c>
      <c r="M65" s="19" t="n">
        <v>94</v>
      </c>
      <c r="N65" s="19" t="n">
        <v>82</v>
      </c>
      <c r="O65" s="20" t="n">
        <f aca="false">SUM(I65:N65)</f>
        <v>516</v>
      </c>
      <c r="P65" s="21" t="n">
        <f aca="false">O65/6</f>
        <v>86</v>
      </c>
      <c r="Q65" s="22" t="n">
        <v>45806</v>
      </c>
      <c r="R65" s="20" t="n">
        <f aca="false">DATE(2025,6,22)-Q65</f>
        <v>24</v>
      </c>
      <c r="S65" s="23" t="n">
        <f aca="false">G65*F65</f>
        <v>542.1</v>
      </c>
    </row>
    <row r="66" customFormat="false" ht="18" hidden="false" customHeight="true" outlineLevel="0" collapsed="false">
      <c r="A66" s="6" t="s">
        <v>198</v>
      </c>
      <c r="B66" s="7" t="s">
        <v>199</v>
      </c>
      <c r="C66" s="7" t="s">
        <v>174</v>
      </c>
      <c r="D66" s="8" t="s">
        <v>197</v>
      </c>
      <c r="E66" s="7" t="s">
        <v>108</v>
      </c>
      <c r="F66" s="9" t="n">
        <v>5.2</v>
      </c>
      <c r="G66" s="10" t="n">
        <v>194</v>
      </c>
      <c r="H66" s="10" t="n">
        <v>27</v>
      </c>
      <c r="I66" s="10" t="n">
        <v>100</v>
      </c>
      <c r="J66" s="10" t="n">
        <v>95</v>
      </c>
      <c r="K66" s="10" t="n">
        <v>136</v>
      </c>
      <c r="L66" s="10" t="n">
        <v>97</v>
      </c>
      <c r="M66" s="10" t="n">
        <v>107</v>
      </c>
      <c r="N66" s="10" t="n">
        <v>125</v>
      </c>
      <c r="O66" s="11" t="n">
        <f aca="false">SUM(I66:N66)</f>
        <v>660</v>
      </c>
      <c r="P66" s="12" t="n">
        <f aca="false">O66/6</f>
        <v>110</v>
      </c>
      <c r="Q66" s="13" t="n">
        <v>45819</v>
      </c>
      <c r="R66" s="11" t="n">
        <f aca="false">DATE(2025,6,22)-Q66</f>
        <v>11</v>
      </c>
      <c r="S66" s="14" t="n">
        <f aca="false">G66*F66</f>
        <v>1008.8</v>
      </c>
    </row>
    <row r="67" customFormat="false" ht="18" hidden="false" customHeight="true" outlineLevel="0" collapsed="false">
      <c r="A67" s="15" t="s">
        <v>200</v>
      </c>
      <c r="B67" s="16" t="s">
        <v>201</v>
      </c>
      <c r="C67" s="16" t="s">
        <v>174</v>
      </c>
      <c r="D67" s="17" t="s">
        <v>202</v>
      </c>
      <c r="E67" s="16" t="s">
        <v>203</v>
      </c>
      <c r="F67" s="18" t="n">
        <v>6.4</v>
      </c>
      <c r="G67" s="19" t="n">
        <v>7</v>
      </c>
      <c r="H67" s="19" t="n">
        <v>5</v>
      </c>
      <c r="I67" s="19" t="n">
        <v>5</v>
      </c>
      <c r="J67" s="19" t="n">
        <v>4</v>
      </c>
      <c r="K67" s="19" t="n">
        <v>5</v>
      </c>
      <c r="L67" s="19" t="n">
        <v>4</v>
      </c>
      <c r="M67" s="19" t="n">
        <v>4</v>
      </c>
      <c r="N67" s="19" t="n">
        <v>4</v>
      </c>
      <c r="O67" s="20" t="n">
        <f aca="false">SUM(I67:N67)</f>
        <v>26</v>
      </c>
      <c r="P67" s="21" t="n">
        <f aca="false">O67/6</f>
        <v>4.33333333333333</v>
      </c>
      <c r="Q67" s="22" t="n">
        <v>45778</v>
      </c>
      <c r="R67" s="20" t="n">
        <f aca="false">DATE(2025,6,22)-Q67</f>
        <v>52</v>
      </c>
      <c r="S67" s="23" t="n">
        <f aca="false">G67*F67</f>
        <v>44.8</v>
      </c>
    </row>
    <row r="68" customFormat="false" ht="18" hidden="false" customHeight="true" outlineLevel="0" collapsed="false">
      <c r="A68" s="6" t="s">
        <v>204</v>
      </c>
      <c r="B68" s="7" t="s">
        <v>205</v>
      </c>
      <c r="C68" s="7" t="s">
        <v>174</v>
      </c>
      <c r="D68" s="8" t="s">
        <v>202</v>
      </c>
      <c r="E68" s="7" t="s">
        <v>203</v>
      </c>
      <c r="F68" s="9" t="n">
        <v>3.8</v>
      </c>
      <c r="G68" s="10" t="n">
        <v>205</v>
      </c>
      <c r="H68" s="10" t="n">
        <v>5</v>
      </c>
      <c r="I68" s="10" t="n">
        <v>3</v>
      </c>
      <c r="J68" s="10" t="n">
        <v>0</v>
      </c>
      <c r="K68" s="10" t="n">
        <v>0</v>
      </c>
      <c r="L68" s="10" t="n">
        <v>2</v>
      </c>
      <c r="M68" s="10" t="n">
        <v>1</v>
      </c>
      <c r="N68" s="10" t="n">
        <v>3</v>
      </c>
      <c r="O68" s="11" t="n">
        <f aca="false">SUM(I68:N68)</f>
        <v>9</v>
      </c>
      <c r="P68" s="12" t="n">
        <f aca="false">O68/6</f>
        <v>1.5</v>
      </c>
      <c r="Q68" s="13" t="n">
        <v>45749</v>
      </c>
      <c r="R68" s="11" t="n">
        <f aca="false">DATE(2025,6,22)-Q68</f>
        <v>81</v>
      </c>
      <c r="S68" s="14" t="n">
        <f aca="false">G68*F68</f>
        <v>779</v>
      </c>
    </row>
    <row r="69" customFormat="false" ht="18" hidden="false" customHeight="true" outlineLevel="0" collapsed="false">
      <c r="A69" s="15" t="s">
        <v>206</v>
      </c>
      <c r="B69" s="16" t="s">
        <v>207</v>
      </c>
      <c r="C69" s="16" t="s">
        <v>174</v>
      </c>
      <c r="D69" s="17" t="s">
        <v>208</v>
      </c>
      <c r="E69" s="16" t="s">
        <v>209</v>
      </c>
      <c r="F69" s="18" t="n">
        <v>8.9</v>
      </c>
      <c r="G69" s="19" t="n">
        <v>175</v>
      </c>
      <c r="H69" s="19" t="n">
        <v>26</v>
      </c>
      <c r="I69" s="19" t="n">
        <v>135</v>
      </c>
      <c r="J69" s="19" t="n">
        <v>139</v>
      </c>
      <c r="K69" s="19" t="n">
        <v>131</v>
      </c>
      <c r="L69" s="19" t="n">
        <v>155</v>
      </c>
      <c r="M69" s="19" t="n">
        <v>124</v>
      </c>
      <c r="N69" s="19" t="n">
        <v>152</v>
      </c>
      <c r="O69" s="20" t="n">
        <f aca="false">SUM(I69:N69)</f>
        <v>836</v>
      </c>
      <c r="P69" s="21" t="n">
        <f aca="false">O69/6</f>
        <v>139.333333333333</v>
      </c>
      <c r="Q69" s="22" t="n">
        <v>45826</v>
      </c>
      <c r="R69" s="20" t="n">
        <f aca="false">DATE(2025,6,22)-Q69</f>
        <v>4</v>
      </c>
      <c r="S69" s="23" t="n">
        <f aca="false">G69*F69</f>
        <v>1557.5</v>
      </c>
    </row>
    <row r="70" customFormat="false" ht="18" hidden="false" customHeight="true" outlineLevel="0" collapsed="false">
      <c r="A70" s="6" t="s">
        <v>210</v>
      </c>
      <c r="B70" s="7" t="s">
        <v>211</v>
      </c>
      <c r="C70" s="7" t="s">
        <v>174</v>
      </c>
      <c r="D70" s="8" t="s">
        <v>208</v>
      </c>
      <c r="E70" s="7" t="s">
        <v>209</v>
      </c>
      <c r="F70" s="9" t="n">
        <v>4.2</v>
      </c>
      <c r="G70" s="10" t="n">
        <v>498</v>
      </c>
      <c r="H70" s="10" t="n">
        <v>22</v>
      </c>
      <c r="I70" s="10" t="n">
        <v>82</v>
      </c>
      <c r="J70" s="10" t="n">
        <v>103</v>
      </c>
      <c r="K70" s="10" t="n">
        <v>113</v>
      </c>
      <c r="L70" s="10" t="n">
        <v>100</v>
      </c>
      <c r="M70" s="10" t="n">
        <v>76</v>
      </c>
      <c r="N70" s="10" t="n">
        <v>102</v>
      </c>
      <c r="O70" s="11" t="n">
        <f aca="false">SUM(I70:N70)</f>
        <v>576</v>
      </c>
      <c r="P70" s="12" t="n">
        <f aca="false">O70/6</f>
        <v>96</v>
      </c>
      <c r="Q70" s="13" t="n">
        <v>45805</v>
      </c>
      <c r="R70" s="11" t="n">
        <f aca="false">DATE(2025,6,22)-Q70</f>
        <v>25</v>
      </c>
      <c r="S70" s="14" t="n">
        <f aca="false">G70*F70</f>
        <v>2091.6</v>
      </c>
    </row>
    <row r="71" customFormat="false" ht="18" hidden="false" customHeight="true" outlineLevel="0" collapsed="false">
      <c r="A71" s="15" t="s">
        <v>212</v>
      </c>
      <c r="B71" s="16" t="s">
        <v>213</v>
      </c>
      <c r="C71" s="16" t="s">
        <v>174</v>
      </c>
      <c r="D71" s="17" t="s">
        <v>214</v>
      </c>
      <c r="E71" s="16" t="s">
        <v>215</v>
      </c>
      <c r="F71" s="18" t="n">
        <v>2.1</v>
      </c>
      <c r="G71" s="19" t="n">
        <v>368</v>
      </c>
      <c r="H71" s="19" t="n">
        <v>31</v>
      </c>
      <c r="I71" s="19" t="n">
        <v>187</v>
      </c>
      <c r="J71" s="19" t="n">
        <v>224</v>
      </c>
      <c r="K71" s="19" t="n">
        <v>210</v>
      </c>
      <c r="L71" s="19" t="n">
        <v>158</v>
      </c>
      <c r="M71" s="19" t="n">
        <v>165</v>
      </c>
      <c r="N71" s="19" t="n">
        <v>159</v>
      </c>
      <c r="O71" s="20" t="n">
        <f aca="false">SUM(I71:N71)</f>
        <v>1103</v>
      </c>
      <c r="P71" s="21" t="n">
        <f aca="false">O71/6</f>
        <v>183.833333333333</v>
      </c>
      <c r="Q71" s="22" t="n">
        <v>45828</v>
      </c>
      <c r="R71" s="20" t="n">
        <f aca="false">DATE(2025,6,22)-Q71</f>
        <v>2</v>
      </c>
      <c r="S71" s="23" t="n">
        <f aca="false">G71*F71</f>
        <v>772.8</v>
      </c>
    </row>
    <row r="72" customFormat="false" ht="18" hidden="false" customHeight="true" outlineLevel="0" collapsed="false">
      <c r="A72" s="6" t="s">
        <v>216</v>
      </c>
      <c r="B72" s="7" t="s">
        <v>217</v>
      </c>
      <c r="C72" s="7" t="s">
        <v>174</v>
      </c>
      <c r="D72" s="8" t="s">
        <v>214</v>
      </c>
      <c r="E72" s="7" t="s">
        <v>215</v>
      </c>
      <c r="F72" s="9" t="n">
        <v>1.8</v>
      </c>
      <c r="G72" s="10" t="n">
        <v>10</v>
      </c>
      <c r="H72" s="10" t="n">
        <v>5</v>
      </c>
      <c r="I72" s="10" t="n">
        <v>6</v>
      </c>
      <c r="J72" s="10" t="n">
        <v>6</v>
      </c>
      <c r="K72" s="10" t="n">
        <v>4</v>
      </c>
      <c r="L72" s="10" t="n">
        <v>7</v>
      </c>
      <c r="M72" s="10" t="n">
        <v>6</v>
      </c>
      <c r="N72" s="10" t="n">
        <v>7</v>
      </c>
      <c r="O72" s="11" t="n">
        <f aca="false">SUM(I72:N72)</f>
        <v>36</v>
      </c>
      <c r="P72" s="12" t="n">
        <f aca="false">O72/6</f>
        <v>6</v>
      </c>
      <c r="Q72" s="13" t="n">
        <v>45781</v>
      </c>
      <c r="R72" s="11" t="n">
        <f aca="false">DATE(2025,6,22)-Q72</f>
        <v>49</v>
      </c>
      <c r="S72" s="14" t="n">
        <f aca="false">G72*F72</f>
        <v>18</v>
      </c>
    </row>
    <row r="73" customFormat="false" ht="18" hidden="false" customHeight="true" outlineLevel="0" collapsed="false">
      <c r="A73" s="15" t="s">
        <v>218</v>
      </c>
      <c r="B73" s="16" t="s">
        <v>219</v>
      </c>
      <c r="C73" s="16" t="s">
        <v>174</v>
      </c>
      <c r="D73" s="17" t="s">
        <v>220</v>
      </c>
      <c r="E73" s="16" t="s">
        <v>221</v>
      </c>
      <c r="F73" s="18" t="n">
        <v>1.5</v>
      </c>
      <c r="G73" s="19" t="n">
        <v>118</v>
      </c>
      <c r="H73" s="19" t="n">
        <v>31</v>
      </c>
      <c r="I73" s="19" t="n">
        <v>108</v>
      </c>
      <c r="J73" s="19" t="n">
        <v>98</v>
      </c>
      <c r="K73" s="19" t="n">
        <v>160</v>
      </c>
      <c r="L73" s="19" t="n">
        <v>128</v>
      </c>
      <c r="M73" s="19" t="n">
        <v>152</v>
      </c>
      <c r="N73" s="19" t="n">
        <v>123</v>
      </c>
      <c r="O73" s="20" t="n">
        <f aca="false">SUM(I73:N73)</f>
        <v>769</v>
      </c>
      <c r="P73" s="21" t="n">
        <f aca="false">O73/6</f>
        <v>128.166666666667</v>
      </c>
      <c r="Q73" s="22" t="n">
        <v>45828</v>
      </c>
      <c r="R73" s="20" t="n">
        <f aca="false">DATE(2025,6,22)-Q73</f>
        <v>2</v>
      </c>
      <c r="S73" s="23" t="n">
        <f aca="false">G73*F73</f>
        <v>177</v>
      </c>
    </row>
    <row r="74" customFormat="false" ht="18" hidden="false" customHeight="true" outlineLevel="0" collapsed="false">
      <c r="A74" s="6" t="s">
        <v>222</v>
      </c>
      <c r="B74" s="7" t="s">
        <v>223</v>
      </c>
      <c r="C74" s="7" t="s">
        <v>174</v>
      </c>
      <c r="D74" s="8" t="s">
        <v>220</v>
      </c>
      <c r="E74" s="7" t="s">
        <v>221</v>
      </c>
      <c r="F74" s="9" t="n">
        <v>4.8</v>
      </c>
      <c r="G74" s="10" t="n">
        <v>32</v>
      </c>
      <c r="H74" s="10" t="n">
        <v>51</v>
      </c>
      <c r="I74" s="10" t="n">
        <v>156</v>
      </c>
      <c r="J74" s="10" t="n">
        <v>199</v>
      </c>
      <c r="K74" s="10" t="n">
        <v>172</v>
      </c>
      <c r="L74" s="10" t="n">
        <v>243</v>
      </c>
      <c r="M74" s="10" t="n">
        <v>153</v>
      </c>
      <c r="N74" s="10" t="n">
        <v>220</v>
      </c>
      <c r="O74" s="11" t="n">
        <f aca="false">SUM(I74:N74)</f>
        <v>1143</v>
      </c>
      <c r="P74" s="12" t="n">
        <f aca="false">O74/6</f>
        <v>190.5</v>
      </c>
      <c r="Q74" s="13" t="n">
        <v>45822</v>
      </c>
      <c r="R74" s="11" t="n">
        <f aca="false">DATE(2025,6,22)-Q74</f>
        <v>8</v>
      </c>
      <c r="S74" s="14" t="n">
        <f aca="false">G74*F74</f>
        <v>153.6</v>
      </c>
    </row>
    <row r="75" customFormat="false" ht="18" hidden="false" customHeight="true" outlineLevel="0" collapsed="false">
      <c r="A75" s="15" t="s">
        <v>224</v>
      </c>
      <c r="B75" s="16" t="s">
        <v>225</v>
      </c>
      <c r="C75" s="16" t="s">
        <v>174</v>
      </c>
      <c r="D75" s="17" t="s">
        <v>226</v>
      </c>
      <c r="E75" s="16" t="s">
        <v>221</v>
      </c>
      <c r="F75" s="18" t="n">
        <v>4.2</v>
      </c>
      <c r="G75" s="19" t="n">
        <v>161</v>
      </c>
      <c r="H75" s="19" t="n">
        <v>52</v>
      </c>
      <c r="I75" s="19" t="n">
        <v>165</v>
      </c>
      <c r="J75" s="19" t="n">
        <v>216</v>
      </c>
      <c r="K75" s="19" t="n">
        <v>158</v>
      </c>
      <c r="L75" s="19" t="n">
        <v>185</v>
      </c>
      <c r="M75" s="19" t="n">
        <v>170</v>
      </c>
      <c r="N75" s="19" t="n">
        <v>183</v>
      </c>
      <c r="O75" s="20" t="n">
        <f aca="false">SUM(I75:N75)</f>
        <v>1077</v>
      </c>
      <c r="P75" s="21" t="n">
        <f aca="false">O75/6</f>
        <v>179.5</v>
      </c>
      <c r="Q75" s="22" t="n">
        <v>45826</v>
      </c>
      <c r="R75" s="20" t="n">
        <f aca="false">DATE(2025,6,22)-Q75</f>
        <v>4</v>
      </c>
      <c r="S75" s="23" t="n">
        <f aca="false">G75*F75</f>
        <v>676.2</v>
      </c>
    </row>
    <row r="76" customFormat="false" ht="18" hidden="false" customHeight="true" outlineLevel="0" collapsed="false">
      <c r="A76" s="6" t="s">
        <v>227</v>
      </c>
      <c r="B76" s="7" t="s">
        <v>228</v>
      </c>
      <c r="C76" s="7" t="s">
        <v>174</v>
      </c>
      <c r="D76" s="8" t="s">
        <v>226</v>
      </c>
      <c r="E76" s="7" t="s">
        <v>221</v>
      </c>
      <c r="F76" s="9" t="n">
        <v>5.5</v>
      </c>
      <c r="G76" s="10" t="n">
        <v>127</v>
      </c>
      <c r="H76" s="10" t="n">
        <v>21</v>
      </c>
      <c r="I76" s="10" t="n">
        <v>101</v>
      </c>
      <c r="J76" s="10" t="n">
        <v>83</v>
      </c>
      <c r="K76" s="10" t="n">
        <v>73</v>
      </c>
      <c r="L76" s="10" t="n">
        <v>82</v>
      </c>
      <c r="M76" s="10" t="n">
        <v>97</v>
      </c>
      <c r="N76" s="10" t="n">
        <v>77</v>
      </c>
      <c r="O76" s="11" t="n">
        <f aca="false">SUM(I76:N76)</f>
        <v>513</v>
      </c>
      <c r="P76" s="12" t="n">
        <f aca="false">O76/6</f>
        <v>85.5</v>
      </c>
      <c r="Q76" s="13" t="n">
        <v>45814</v>
      </c>
      <c r="R76" s="11" t="n">
        <f aca="false">DATE(2025,6,22)-Q76</f>
        <v>16</v>
      </c>
      <c r="S76" s="14" t="n">
        <f aca="false">G76*F76</f>
        <v>698.5</v>
      </c>
    </row>
    <row r="77" customFormat="false" ht="18" hidden="false" customHeight="true" outlineLevel="0" collapsed="false">
      <c r="A77" s="15" t="s">
        <v>229</v>
      </c>
      <c r="B77" s="16" t="s">
        <v>230</v>
      </c>
      <c r="C77" s="16" t="s">
        <v>174</v>
      </c>
      <c r="D77" s="17" t="s">
        <v>231</v>
      </c>
      <c r="E77" s="16" t="s">
        <v>114</v>
      </c>
      <c r="F77" s="18" t="n">
        <v>3.6</v>
      </c>
      <c r="G77" s="19" t="n">
        <v>534</v>
      </c>
      <c r="H77" s="19" t="n">
        <v>27</v>
      </c>
      <c r="I77" s="19" t="n">
        <v>87</v>
      </c>
      <c r="J77" s="19" t="n">
        <v>103</v>
      </c>
      <c r="K77" s="19" t="n">
        <v>103</v>
      </c>
      <c r="L77" s="19" t="n">
        <v>139</v>
      </c>
      <c r="M77" s="19" t="n">
        <v>89</v>
      </c>
      <c r="N77" s="19" t="n">
        <v>100</v>
      </c>
      <c r="O77" s="20" t="n">
        <f aca="false">SUM(I77:N77)</f>
        <v>621</v>
      </c>
      <c r="P77" s="21" t="n">
        <f aca="false">O77/6</f>
        <v>103.5</v>
      </c>
      <c r="Q77" s="22" t="n">
        <v>45811</v>
      </c>
      <c r="R77" s="20" t="n">
        <f aca="false">DATE(2025,6,22)-Q77</f>
        <v>19</v>
      </c>
      <c r="S77" s="23" t="n">
        <f aca="false">G77*F77</f>
        <v>1922.4</v>
      </c>
    </row>
    <row r="78" customFormat="false" ht="18" hidden="false" customHeight="true" outlineLevel="0" collapsed="false">
      <c r="A78" s="6" t="s">
        <v>232</v>
      </c>
      <c r="B78" s="7" t="s">
        <v>233</v>
      </c>
      <c r="C78" s="7" t="s">
        <v>174</v>
      </c>
      <c r="D78" s="8" t="s">
        <v>231</v>
      </c>
      <c r="E78" s="7" t="s">
        <v>114</v>
      </c>
      <c r="F78" s="9" t="n">
        <v>4.9</v>
      </c>
      <c r="G78" s="10" t="n">
        <v>103</v>
      </c>
      <c r="H78" s="10" t="n">
        <v>18</v>
      </c>
      <c r="I78" s="10" t="n">
        <v>88</v>
      </c>
      <c r="J78" s="10" t="n">
        <v>94</v>
      </c>
      <c r="K78" s="10" t="n">
        <v>99</v>
      </c>
      <c r="L78" s="10" t="n">
        <v>112</v>
      </c>
      <c r="M78" s="10" t="n">
        <v>108</v>
      </c>
      <c r="N78" s="10" t="n">
        <v>71</v>
      </c>
      <c r="O78" s="11" t="n">
        <f aca="false">SUM(I78:N78)</f>
        <v>572</v>
      </c>
      <c r="P78" s="12" t="n">
        <f aca="false">O78/6</f>
        <v>95.3333333333333</v>
      </c>
      <c r="Q78" s="13" t="n">
        <v>45806</v>
      </c>
      <c r="R78" s="11" t="n">
        <f aca="false">DATE(2025,6,22)-Q78</f>
        <v>24</v>
      </c>
      <c r="S78" s="14" t="n">
        <f aca="false">G78*F78</f>
        <v>504.7</v>
      </c>
    </row>
    <row r="79" customFormat="false" ht="18" hidden="false" customHeight="true" outlineLevel="0" collapsed="false">
      <c r="A79" s="15" t="s">
        <v>234</v>
      </c>
      <c r="B79" s="16" t="s">
        <v>235</v>
      </c>
      <c r="C79" s="16" t="s">
        <v>174</v>
      </c>
      <c r="D79" s="17" t="s">
        <v>236</v>
      </c>
      <c r="E79" s="16" t="s">
        <v>237</v>
      </c>
      <c r="F79" s="18" t="n">
        <v>3.1</v>
      </c>
      <c r="G79" s="19" t="n">
        <v>38</v>
      </c>
      <c r="H79" s="19" t="n">
        <v>5</v>
      </c>
      <c r="I79" s="19" t="n">
        <v>28</v>
      </c>
      <c r="J79" s="19" t="n">
        <v>22</v>
      </c>
      <c r="K79" s="19" t="n">
        <v>23</v>
      </c>
      <c r="L79" s="19" t="n">
        <v>21</v>
      </c>
      <c r="M79" s="19" t="n">
        <v>22</v>
      </c>
      <c r="N79" s="19" t="n">
        <v>20</v>
      </c>
      <c r="O79" s="20" t="n">
        <f aca="false">SUM(I79:N79)</f>
        <v>136</v>
      </c>
      <c r="P79" s="21" t="n">
        <f aca="false">O79/6</f>
        <v>22.6666666666667</v>
      </c>
      <c r="Q79" s="22" t="n">
        <v>45776</v>
      </c>
      <c r="R79" s="20" t="n">
        <f aca="false">DATE(2025,6,22)-Q79</f>
        <v>54</v>
      </c>
      <c r="S79" s="23" t="n">
        <f aca="false">G79*F79</f>
        <v>117.8</v>
      </c>
    </row>
    <row r="80" customFormat="false" ht="18" hidden="false" customHeight="true" outlineLevel="0" collapsed="false">
      <c r="A80" s="6" t="s">
        <v>238</v>
      </c>
      <c r="B80" s="7" t="s">
        <v>239</v>
      </c>
      <c r="C80" s="7" t="s">
        <v>174</v>
      </c>
      <c r="D80" s="8" t="s">
        <v>236</v>
      </c>
      <c r="E80" s="7" t="s">
        <v>237</v>
      </c>
      <c r="F80" s="9" t="n">
        <v>6.8</v>
      </c>
      <c r="G80" s="10" t="n">
        <v>36</v>
      </c>
      <c r="H80" s="10" t="n">
        <v>39</v>
      </c>
      <c r="I80" s="10" t="n">
        <v>198</v>
      </c>
      <c r="J80" s="10" t="n">
        <v>184</v>
      </c>
      <c r="K80" s="10" t="n">
        <v>173</v>
      </c>
      <c r="L80" s="10" t="n">
        <v>122</v>
      </c>
      <c r="M80" s="10" t="n">
        <v>140</v>
      </c>
      <c r="N80" s="10" t="n">
        <v>179</v>
      </c>
      <c r="O80" s="11" t="n">
        <f aca="false">SUM(I80:N80)</f>
        <v>996</v>
      </c>
      <c r="P80" s="12" t="n">
        <f aca="false">O80/6</f>
        <v>166</v>
      </c>
      <c r="Q80" s="13" t="n">
        <v>45829</v>
      </c>
      <c r="R80" s="11" t="n">
        <f aca="false">DATE(2025,6,22)-Q80</f>
        <v>1</v>
      </c>
      <c r="S80" s="14" t="n">
        <f aca="false">G80*F80</f>
        <v>244.8</v>
      </c>
    </row>
    <row r="81" customFormat="false" ht="18" hidden="false" customHeight="true" outlineLevel="0" collapsed="false">
      <c r="A81" s="15" t="s">
        <v>240</v>
      </c>
      <c r="B81" s="16" t="s">
        <v>241</v>
      </c>
      <c r="C81" s="16" t="s">
        <v>174</v>
      </c>
      <c r="D81" s="17" t="s">
        <v>242</v>
      </c>
      <c r="E81" s="16" t="s">
        <v>221</v>
      </c>
      <c r="F81" s="18" t="n">
        <v>12.5</v>
      </c>
      <c r="G81" s="19" t="n">
        <v>269</v>
      </c>
      <c r="H81" s="19" t="n">
        <v>23</v>
      </c>
      <c r="I81" s="19" t="n">
        <v>115</v>
      </c>
      <c r="J81" s="19" t="n">
        <v>126</v>
      </c>
      <c r="K81" s="19" t="n">
        <v>91</v>
      </c>
      <c r="L81" s="19" t="n">
        <v>111</v>
      </c>
      <c r="M81" s="19" t="n">
        <v>107</v>
      </c>
      <c r="N81" s="19" t="n">
        <v>97</v>
      </c>
      <c r="O81" s="20" t="n">
        <f aca="false">SUM(I81:N81)</f>
        <v>647</v>
      </c>
      <c r="P81" s="21" t="n">
        <f aca="false">O81/6</f>
        <v>107.833333333333</v>
      </c>
      <c r="Q81" s="22" t="n">
        <v>45803</v>
      </c>
      <c r="R81" s="20" t="n">
        <f aca="false">DATE(2025,6,22)-Q81</f>
        <v>27</v>
      </c>
      <c r="S81" s="23" t="n">
        <f aca="false">G81*F81</f>
        <v>3362.5</v>
      </c>
    </row>
    <row r="82" customFormat="false" ht="18" hidden="false" customHeight="true" outlineLevel="0" collapsed="false">
      <c r="A82" s="6" t="s">
        <v>243</v>
      </c>
      <c r="B82" s="7" t="s">
        <v>244</v>
      </c>
      <c r="C82" s="7" t="s">
        <v>174</v>
      </c>
      <c r="D82" s="8" t="s">
        <v>242</v>
      </c>
      <c r="E82" s="7" t="s">
        <v>221</v>
      </c>
      <c r="F82" s="9" t="n">
        <v>9.8</v>
      </c>
      <c r="G82" s="10" t="n">
        <v>206</v>
      </c>
      <c r="H82" s="10" t="n">
        <v>5</v>
      </c>
      <c r="I82" s="10" t="n">
        <v>2</v>
      </c>
      <c r="J82" s="10" t="n">
        <v>3</v>
      </c>
      <c r="K82" s="10" t="n">
        <v>0</v>
      </c>
      <c r="L82" s="10" t="n">
        <v>3</v>
      </c>
      <c r="M82" s="10" t="n">
        <v>0</v>
      </c>
      <c r="N82" s="10" t="n">
        <v>2</v>
      </c>
      <c r="O82" s="11" t="n">
        <f aca="false">SUM(I82:N82)</f>
        <v>10</v>
      </c>
      <c r="P82" s="12" t="n">
        <f aca="false">O82/6</f>
        <v>1.66666666666667</v>
      </c>
      <c r="Q82" s="13" t="n">
        <v>45761</v>
      </c>
      <c r="R82" s="11" t="n">
        <f aca="false">DATE(2025,6,22)-Q82</f>
        <v>69</v>
      </c>
      <c r="S82" s="14" t="n">
        <f aca="false">G82*F82</f>
        <v>2018.8</v>
      </c>
    </row>
    <row r="83" customFormat="false" ht="21.75" hidden="false" customHeight="true" outlineLevel="0" collapsed="false">
      <c r="A83" s="24" t="s">
        <v>245</v>
      </c>
      <c r="B83" s="24"/>
      <c r="C83" s="24"/>
      <c r="D83" s="24"/>
      <c r="E83" s="24"/>
      <c r="F83" s="24"/>
      <c r="G83" s="24"/>
      <c r="H83" s="24"/>
      <c r="I83" s="25" t="n">
        <f aca="false">SUM(I5:I82)</f>
        <v>8141</v>
      </c>
      <c r="J83" s="25" t="n">
        <f aca="false">SUM(J5:J82)</f>
        <v>8507</v>
      </c>
      <c r="K83" s="25" t="n">
        <f aca="false">SUM(K5:K82)</f>
        <v>8406</v>
      </c>
      <c r="L83" s="25" t="n">
        <f aca="false">SUM(L5:L82)</f>
        <v>7999</v>
      </c>
      <c r="M83" s="25" t="n">
        <f aca="false">SUM(M5:M82)</f>
        <v>7879</v>
      </c>
      <c r="N83" s="25" t="n">
        <f aca="false">SUM(N5:N82)</f>
        <v>8391</v>
      </c>
      <c r="O83" s="25" t="n">
        <f aca="false">SUM(O5:O82)</f>
        <v>49323</v>
      </c>
      <c r="P83" s="26" t="n">
        <f aca="false">O83/6</f>
        <v>8220.5</v>
      </c>
      <c r="Q83" s="27"/>
      <c r="R83" s="27"/>
      <c r="S83" s="28" t="n">
        <f aca="false">SUM(S5:S82)</f>
        <v>64825.2</v>
      </c>
    </row>
    <row r="85" customFormat="false" ht="15" hidden="false" customHeight="true" outlineLevel="0" collapsed="false">
      <c r="A85" s="29" t="s">
        <v>246</v>
      </c>
      <c r="B85" s="29"/>
    </row>
    <row r="86" customFormat="false" ht="15" hidden="false" customHeight="true" outlineLevel="0" collapsed="false">
      <c r="C86" s="30" t="s">
        <v>247</v>
      </c>
      <c r="D86" s="31" t="s">
        <v>248</v>
      </c>
    </row>
    <row r="87" customFormat="false" ht="15" hidden="false" customHeight="true" outlineLevel="0" collapsed="false">
      <c r="C87" s="32" t="s">
        <v>249</v>
      </c>
      <c r="D87" s="31" t="s">
        <v>250</v>
      </c>
    </row>
  </sheetData>
  <autoFilter ref="A4:S82"/>
  <mergeCells count="7">
    <mergeCell ref="A1:S1"/>
    <mergeCell ref="A2:S2"/>
    <mergeCell ref="A5:S5"/>
    <mergeCell ref="A31:S31"/>
    <mergeCell ref="A57:S57"/>
    <mergeCell ref="A83:H83"/>
    <mergeCell ref="A85:B8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32"/>
    <col collapsed="false" customWidth="true" hidden="false" outlineLevel="0" max="3" min="3" style="1" width="20"/>
    <col collapsed="false" customWidth="true" hidden="false" outlineLevel="0" max="4" min="4" style="1" width="9"/>
    <col collapsed="false" customWidth="true" hidden="false" outlineLevel="0" max="7" min="5" style="1" width="11"/>
    <col collapsed="false" customWidth="true" hidden="false" outlineLevel="0" max="8" min="8" style="1" width="13"/>
    <col collapsed="false" customWidth="true" hidden="false" outlineLevel="0" max="9" min="9" style="1" width="9"/>
    <col collapsed="false" customWidth="true" hidden="false" outlineLevel="0" max="10" min="10" style="1" width="11"/>
    <col collapsed="false" customWidth="true" hidden="false" outlineLevel="0" max="11" min="11" style="1" width="14"/>
    <col collapsed="false" customWidth="true" hidden="false" outlineLevel="0" max="12" min="12" style="1" width="11"/>
    <col collapsed="false" customWidth="true" hidden="false" outlineLevel="0" max="13" min="13" style="1" width="9"/>
    <col collapsed="false" customWidth="true" hidden="false" outlineLevel="0" max="14" min="14" style="1" width="11"/>
    <col collapsed="false" customWidth="true" hidden="false" outlineLevel="0" max="15" min="15" style="1" width="22"/>
    <col collapsed="false" customWidth="true" hidden="false" outlineLevel="0" max="16" min="16" style="1" width="10"/>
  </cols>
  <sheetData>
    <row r="1" customFormat="false" ht="27.75" hidden="false" customHeight="true" outlineLevel="0" collapsed="false">
      <c r="A1" s="2" t="s">
        <v>251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.75" hidden="false" customHeight="true" outlineLevel="0" collapsed="false">
      <c r="A2" s="3" t="s">
        <v>252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6" hidden="false" customHeight="true" outlineLevel="0" collapsed="false"/>
    <row r="4" customFormat="false" ht="42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8</v>
      </c>
      <c r="E4" s="4" t="s">
        <v>17</v>
      </c>
      <c r="F4" s="4" t="s">
        <v>253</v>
      </c>
      <c r="G4" s="4" t="s">
        <v>254</v>
      </c>
      <c r="H4" s="4" t="s">
        <v>255</v>
      </c>
      <c r="I4" s="4" t="s">
        <v>9</v>
      </c>
      <c r="J4" s="4" t="s">
        <v>19</v>
      </c>
      <c r="K4" s="4" t="s">
        <v>256</v>
      </c>
      <c r="L4" s="4" t="s">
        <v>257</v>
      </c>
      <c r="M4" s="4" t="s">
        <v>258</v>
      </c>
      <c r="N4" s="4" t="s">
        <v>259</v>
      </c>
      <c r="O4" s="4" t="s">
        <v>260</v>
      </c>
      <c r="P4" s="4" t="s">
        <v>261</v>
      </c>
    </row>
    <row r="5" customFormat="false" ht="18" hidden="false" customHeight="true" outlineLevel="0" collapsed="false">
      <c r="A5" s="33" t="str">
        <f aca="false">Base_Datos!A6</f>
        <v>SKU-001</v>
      </c>
      <c r="B5" s="34" t="str">
        <f aca="false">Base_Datos!B6</f>
        <v>Arroz Largo Fino 1kg</v>
      </c>
      <c r="C5" s="35" t="str">
        <f aca="false">Base_Datos!C6</f>
        <v>Alimentos Secos</v>
      </c>
      <c r="D5" s="35" t="n">
        <f aca="false">Base_Datos!G6</f>
        <v>64</v>
      </c>
      <c r="E5" s="36" t="n">
        <f aca="false">Base_Datos!P6</f>
        <v>68.1666666666667</v>
      </c>
      <c r="F5" s="37" t="n">
        <f aca="false">IFERROR(Base_Datos!G6/(Base_Datos!P6/30),9999)</f>
        <v>28.1662591687042</v>
      </c>
      <c r="G5" s="38" t="n">
        <f aca="false">IFERROR(Base_Datos!O6/Base_Datos!G6,0)</f>
        <v>6.390625</v>
      </c>
      <c r="H5" s="39" t="n">
        <f aca="false">Base_Datos!S6</f>
        <v>204.8</v>
      </c>
      <c r="I5" s="35" t="n">
        <f aca="false">Base_Datos!H6</f>
        <v>14</v>
      </c>
      <c r="J5" s="35" t="n">
        <f aca="false">Base_Datos!R6</f>
        <v>1</v>
      </c>
      <c r="K5" s="40" t="str">
        <f aca="false">IF(IFERROR(Base_Datos!G6/(Base_Datos!P6/30),9999)&lt;7,"🔴 QUIEBRE",IF(IFERROR(Base_Datos!G6/(Base_Datos!P6/30),9999)&lt;14,"🟡 CRÍTICO",IF(IFERROR(Base_Datos!G6/(Base_Datos!P6/30),9999)&lt;=90,"🟢 NORMAL",IF(IFERROR(Base_Datos!G6/(Base_Datos!P6/30),9999)&lt;=180,"🟡 SOBRESTOCK","🔴 STOCK MUERTO"))))</f>
        <v>🟢 NORMAL</v>
      </c>
      <c r="L5" s="20" t="str">
        <f aca="false">IF(F5&lt;7,"⚠ SÍ","—")</f>
        <v>—</v>
      </c>
      <c r="M5" s="40" t="str">
        <f aca="false">IF(E5&gt;=PERCENTILE($E$5:$E$79,0.8),"A",IF(E5&gt;=PERCENTILE($E$5:$E$79,0.5),"B","C"))</f>
        <v>C</v>
      </c>
      <c r="N5" s="41" t="n">
        <f aca="false">IFERROR(Base_Datos!O6/Base_Datos!O83,0)</f>
        <v>0.00829227743649008</v>
      </c>
      <c r="O5" s="42" t="str">
        <f aca="false">IF(F5&lt;7,"REPOSICIÓN URGENTE",IF(F5&lt;14,"Revisar orden de compra",IF(AND(F5&gt;180,J5&gt;60),"LIQUIDAR / DEVOLVER",IF(F5&gt;90,"Reducir próxima compra","Stock en niveles óptimos"))))</f>
        <v>Stock en niveles óptimos</v>
      </c>
      <c r="P5" s="20" t="n">
        <f aca="false">IF(F5&lt;7,1,IF(AND(F5&gt;180,J5&gt;60),2,IF(F5&lt;14,3,IF(F5&gt;90,4,5))))</f>
        <v>5</v>
      </c>
    </row>
    <row r="6" customFormat="false" ht="18" hidden="false" customHeight="true" outlineLevel="0" collapsed="false">
      <c r="A6" s="43" t="str">
        <f aca="false">Base_Datos!A7</f>
        <v>SKU-002</v>
      </c>
      <c r="B6" s="44" t="str">
        <f aca="false">Base_Datos!B7</f>
        <v>Arroz Largo Fino 5kg</v>
      </c>
      <c r="C6" s="45" t="str">
        <f aca="false">Base_Datos!C7</f>
        <v>Alimentos Secos</v>
      </c>
      <c r="D6" s="45" t="n">
        <f aca="false">Base_Datos!G7</f>
        <v>69</v>
      </c>
      <c r="E6" s="46" t="n">
        <f aca="false">Base_Datos!P7</f>
        <v>59.1666666666667</v>
      </c>
      <c r="F6" s="47" t="n">
        <f aca="false">IFERROR(Base_Datos!G7/(Base_Datos!P7/30),9999)</f>
        <v>34.9859154929578</v>
      </c>
      <c r="G6" s="48" t="n">
        <f aca="false">IFERROR(Base_Datos!O7/Base_Datos!G7,0)</f>
        <v>5.14492753623188</v>
      </c>
      <c r="H6" s="49" t="n">
        <f aca="false">Base_Datos!S7</f>
        <v>1000.5</v>
      </c>
      <c r="I6" s="45" t="n">
        <f aca="false">Base_Datos!H7</f>
        <v>14</v>
      </c>
      <c r="J6" s="45" t="n">
        <f aca="false">Base_Datos!R7</f>
        <v>26</v>
      </c>
      <c r="K6" s="50" t="str">
        <f aca="false">IF(IFERROR(Base_Datos!G7/(Base_Datos!P7/30),9999)&lt;7,"🔴 QUIEBRE",IF(IFERROR(Base_Datos!G7/(Base_Datos!P7/30),9999)&lt;14,"🟡 CRÍTICO",IF(IFERROR(Base_Datos!G7/(Base_Datos!P7/30),9999)&lt;=90,"🟢 NORMAL",IF(IFERROR(Base_Datos!G7/(Base_Datos!P7/30),9999)&lt;=180,"🟡 SOBRESTOCK","🔴 STOCK MUERTO"))))</f>
        <v>🟢 NORMAL</v>
      </c>
      <c r="L6" s="11" t="str">
        <f aca="false">IF(F6&lt;7,"⚠ SÍ","—")</f>
        <v>—</v>
      </c>
      <c r="M6" s="50" t="str">
        <f aca="false">IF(E6&gt;=PERCENTILE($E$5:$E$79,0.8),"A",IF(E6&gt;=PERCENTILE($E$5:$E$79,0.5),"B","C"))</f>
        <v>C</v>
      </c>
      <c r="N6" s="51" t="n">
        <f aca="false">IFERROR(Base_Datos!O7/Base_Datos!O83,0)</f>
        <v>0.00719745352066987</v>
      </c>
      <c r="O6" s="52" t="str">
        <f aca="false">IF(F6&lt;7,"REPOSICIÓN URGENTE",IF(F6&lt;14,"Revisar orden de compra",IF(AND(F6&gt;180,J6&gt;60),"LIQUIDAR / DEVOLVER",IF(F6&gt;90,"Reducir próxima compra","Stock en niveles óptimos"))))</f>
        <v>Stock en niveles óptimos</v>
      </c>
      <c r="P6" s="11" t="n">
        <f aca="false">IF(F6&lt;7,1,IF(AND(F6&gt;180,J6&gt;60),2,IF(F6&lt;14,3,IF(F6&gt;90,4,5))))</f>
        <v>5</v>
      </c>
    </row>
    <row r="7" customFormat="false" ht="18" hidden="false" customHeight="true" outlineLevel="0" collapsed="false">
      <c r="A7" s="33" t="str">
        <f aca="false">Base_Datos!A8</f>
        <v>SKU-003</v>
      </c>
      <c r="B7" s="34" t="str">
        <f aca="false">Base_Datos!B8</f>
        <v>Fideos Spaghetti 500g</v>
      </c>
      <c r="C7" s="35" t="str">
        <f aca="false">Base_Datos!C8</f>
        <v>Alimentos Secos</v>
      </c>
      <c r="D7" s="35" t="n">
        <f aca="false">Base_Datos!G8</f>
        <v>190</v>
      </c>
      <c r="E7" s="36" t="n">
        <f aca="false">Base_Datos!P8</f>
        <v>40</v>
      </c>
      <c r="F7" s="37" t="n">
        <f aca="false">IFERROR(Base_Datos!G8/(Base_Datos!P8/30),9999)</f>
        <v>142.5</v>
      </c>
      <c r="G7" s="38" t="n">
        <f aca="false">IFERROR(Base_Datos!O8/Base_Datos!G8,0)</f>
        <v>1.26315789473684</v>
      </c>
      <c r="H7" s="39" t="n">
        <f aca="false">Base_Datos!S8</f>
        <v>342</v>
      </c>
      <c r="I7" s="35" t="n">
        <f aca="false">Base_Datos!H8</f>
        <v>8</v>
      </c>
      <c r="J7" s="35" t="n">
        <f aca="false">Base_Datos!R8</f>
        <v>12</v>
      </c>
      <c r="K7" s="40" t="str">
        <f aca="false">IF(IFERROR(Base_Datos!G8/(Base_Datos!P8/30),9999)&lt;7,"🔴 QUIEBRE",IF(IFERROR(Base_Datos!G8/(Base_Datos!P8/30),9999)&lt;14,"🟡 CRÍTICO",IF(IFERROR(Base_Datos!G8/(Base_Datos!P8/30),9999)&lt;=90,"🟢 NORMAL",IF(IFERROR(Base_Datos!G8/(Base_Datos!P8/30),9999)&lt;=180,"🟡 SOBRESTOCK","🔴 STOCK MUERTO"))))</f>
        <v>🟡 SOBRESTOCK</v>
      </c>
      <c r="L7" s="20" t="str">
        <f aca="false">IF(F7&lt;7,"⚠ SÍ","—")</f>
        <v>—</v>
      </c>
      <c r="M7" s="40" t="str">
        <f aca="false">IF(E7&gt;=PERCENTILE($E$5:$E$79,0.8),"A",IF(E7&gt;=PERCENTILE($E$5:$E$79,0.5),"B","C"))</f>
        <v>C</v>
      </c>
      <c r="N7" s="41" t="n">
        <f aca="false">IFERROR(Base_Datos!O8/Base_Datos!O83,0)</f>
        <v>0.00486588407031202</v>
      </c>
      <c r="O7" s="42" t="str">
        <f aca="false">IF(F7&lt;7,"REPOSICIÓN URGENTE",IF(F7&lt;14,"Revisar orden de compra",IF(AND(F7&gt;180,J7&gt;60),"LIQUIDAR / DEVOLVER",IF(F7&gt;90,"Reducir próxima compra","Stock en niveles óptimos"))))</f>
        <v>Reducir próxima compra</v>
      </c>
      <c r="P7" s="20" t="n">
        <f aca="false">IF(F7&lt;7,1,IF(AND(F7&gt;180,J7&gt;60),2,IF(F7&lt;14,3,IF(F7&gt;90,4,5))))</f>
        <v>4</v>
      </c>
    </row>
    <row r="8" customFormat="false" ht="18" hidden="false" customHeight="true" outlineLevel="0" collapsed="false">
      <c r="A8" s="43" t="str">
        <f aca="false">Base_Datos!A9</f>
        <v>SKU-004</v>
      </c>
      <c r="B8" s="44" t="str">
        <f aca="false">Base_Datos!B9</f>
        <v>Fideos Moño 500g</v>
      </c>
      <c r="C8" s="45" t="str">
        <f aca="false">Base_Datos!C9</f>
        <v>Alimentos Secos</v>
      </c>
      <c r="D8" s="45" t="n">
        <f aca="false">Base_Datos!G9</f>
        <v>248</v>
      </c>
      <c r="E8" s="46" t="n">
        <f aca="false">Base_Datos!P9</f>
        <v>142.666666666667</v>
      </c>
      <c r="F8" s="47" t="n">
        <f aca="false">IFERROR(Base_Datos!G9/(Base_Datos!P9/30),9999)</f>
        <v>52.1495327102804</v>
      </c>
      <c r="G8" s="48" t="n">
        <f aca="false">IFERROR(Base_Datos!O9/Base_Datos!G9,0)</f>
        <v>3.45161290322581</v>
      </c>
      <c r="H8" s="49" t="n">
        <f aca="false">Base_Datos!S9</f>
        <v>446.4</v>
      </c>
      <c r="I8" s="45" t="n">
        <f aca="false">Base_Datos!H9</f>
        <v>39</v>
      </c>
      <c r="J8" s="45" t="n">
        <f aca="false">Base_Datos!R9</f>
        <v>20</v>
      </c>
      <c r="K8" s="50" t="str">
        <f aca="false">IF(IFERROR(Base_Datos!G9/(Base_Datos!P9/30),9999)&lt;7,"🔴 QUIEBRE",IF(IFERROR(Base_Datos!G9/(Base_Datos!P9/30),9999)&lt;14,"🟡 CRÍTICO",IF(IFERROR(Base_Datos!G9/(Base_Datos!P9/30),9999)&lt;=90,"🟢 NORMAL",IF(IFERROR(Base_Datos!G9/(Base_Datos!P9/30),9999)&lt;=180,"🟡 SOBRESTOCK","🔴 STOCK MUERTO"))))</f>
        <v>🟢 NORMAL</v>
      </c>
      <c r="L8" s="11" t="str">
        <f aca="false">IF(F8&lt;7,"⚠ SÍ","—")</f>
        <v>—</v>
      </c>
      <c r="M8" s="50" t="str">
        <f aca="false">IF(E8&gt;=PERCENTILE($E$5:$E$79,0.8),"A",IF(E8&gt;=PERCENTILE($E$5:$E$79,0.5),"B","C"))</f>
        <v>B</v>
      </c>
      <c r="N8" s="51" t="n">
        <f aca="false">IFERROR(Base_Datos!O9/Base_Datos!O83,0)</f>
        <v>0.0173549865174462</v>
      </c>
      <c r="O8" s="52" t="str">
        <f aca="false">IF(F8&lt;7,"REPOSICIÓN URGENTE",IF(F8&lt;14,"Revisar orden de compra",IF(AND(F8&gt;180,J8&gt;60),"LIQUIDAR / DEVOLVER",IF(F8&gt;90,"Reducir próxima compra","Stock en niveles óptimos"))))</f>
        <v>Stock en niveles óptimos</v>
      </c>
      <c r="P8" s="11" t="n">
        <f aca="false">IF(F8&lt;7,1,IF(AND(F8&gt;180,J8&gt;60),2,IF(F8&lt;14,3,IF(F8&gt;90,4,5))))</f>
        <v>5</v>
      </c>
    </row>
    <row r="9" customFormat="false" ht="18" hidden="false" customHeight="true" outlineLevel="0" collapsed="false">
      <c r="A9" s="33" t="str">
        <f aca="false">Base_Datos!A10</f>
        <v>SKU-005</v>
      </c>
      <c r="B9" s="34" t="str">
        <f aca="false">Base_Datos!B10</f>
        <v>Harina 000 1kg</v>
      </c>
      <c r="C9" s="35" t="str">
        <f aca="false">Base_Datos!C10</f>
        <v>Alimentos Secos</v>
      </c>
      <c r="D9" s="35" t="n">
        <f aca="false">Base_Datos!G10</f>
        <v>24</v>
      </c>
      <c r="E9" s="36" t="n">
        <f aca="false">Base_Datos!P10</f>
        <v>374.833333333333</v>
      </c>
      <c r="F9" s="37" t="n">
        <f aca="false">IFERROR(Base_Datos!G10/(Base_Datos!P10/30),9999)</f>
        <v>1.92085371276123</v>
      </c>
      <c r="G9" s="38" t="n">
        <f aca="false">IFERROR(Base_Datos!O10/Base_Datos!G10,0)</f>
        <v>93.7083333333333</v>
      </c>
      <c r="H9" s="39" t="n">
        <f aca="false">Base_Datos!S10</f>
        <v>36</v>
      </c>
      <c r="I9" s="35" t="n">
        <f aca="false">Base_Datos!H10</f>
        <v>69</v>
      </c>
      <c r="J9" s="35" t="n">
        <f aca="false">Base_Datos!R10</f>
        <v>4</v>
      </c>
      <c r="K9" s="40" t="str">
        <f aca="false">IF(IFERROR(Base_Datos!G10/(Base_Datos!P10/30),9999)&lt;7,"🔴 QUIEBRE",IF(IFERROR(Base_Datos!G10/(Base_Datos!P10/30),9999)&lt;14,"🟡 CRÍTICO",IF(IFERROR(Base_Datos!G10/(Base_Datos!P10/30),9999)&lt;=90,"🟢 NORMAL",IF(IFERROR(Base_Datos!G10/(Base_Datos!P10/30),9999)&lt;=180,"🟡 SOBRESTOCK","🔴 STOCK MUERTO"))))</f>
        <v>🔴 QUIEBRE</v>
      </c>
      <c r="L9" s="20" t="str">
        <f aca="false">IF(F9&lt;7,"⚠ SÍ","—")</f>
        <v>⚠ SÍ</v>
      </c>
      <c r="M9" s="40" t="str">
        <f aca="false">IF(E9&gt;=PERCENTILE($E$5:$E$79,0.8),"A",IF(E9&gt;=PERCENTILE($E$5:$E$79,0.5),"B","C"))</f>
        <v>A</v>
      </c>
      <c r="N9" s="41" t="n">
        <f aca="false">IFERROR(Base_Datos!O10/Base_Datos!O83,0)</f>
        <v>0.0455973886422156</v>
      </c>
      <c r="O9" s="42" t="str">
        <f aca="false">IF(F9&lt;7,"REPOSICIÓN URGENTE",IF(F9&lt;14,"Revisar orden de compra",IF(AND(F9&gt;180,J9&gt;60),"LIQUIDAR / DEVOLVER",IF(F9&gt;90,"Reducir próxima compra","Stock en niveles óptimos"))))</f>
        <v>REPOSICIÓN URGENTE</v>
      </c>
      <c r="P9" s="20" t="n">
        <f aca="false">IF(F9&lt;7,1,IF(AND(F9&gt;180,J9&gt;60),2,IF(F9&lt;14,3,IF(F9&gt;90,4,5))))</f>
        <v>1</v>
      </c>
    </row>
    <row r="10" customFormat="false" ht="18" hidden="false" customHeight="true" outlineLevel="0" collapsed="false">
      <c r="A10" s="43" t="str">
        <f aca="false">Base_Datos!A11</f>
        <v>SKU-006</v>
      </c>
      <c r="B10" s="44" t="str">
        <f aca="false">Base_Datos!B11</f>
        <v>Harina 0000 1kg</v>
      </c>
      <c r="C10" s="45" t="str">
        <f aca="false">Base_Datos!C11</f>
        <v>Alimentos Secos</v>
      </c>
      <c r="D10" s="45" t="n">
        <f aca="false">Base_Datos!G11</f>
        <v>308</v>
      </c>
      <c r="E10" s="46" t="n">
        <f aca="false">Base_Datos!P11</f>
        <v>128.833333333333</v>
      </c>
      <c r="F10" s="47" t="n">
        <f aca="false">IFERROR(Base_Datos!G11/(Base_Datos!P11/30),9999)</f>
        <v>71.7205692108667</v>
      </c>
      <c r="G10" s="48" t="n">
        <f aca="false">IFERROR(Base_Datos!O11/Base_Datos!G11,0)</f>
        <v>2.50974025974026</v>
      </c>
      <c r="H10" s="49" t="n">
        <f aca="false">Base_Datos!S11</f>
        <v>508.2</v>
      </c>
      <c r="I10" s="45" t="n">
        <f aca="false">Base_Datos!H11</f>
        <v>31</v>
      </c>
      <c r="J10" s="45" t="n">
        <f aca="false">Base_Datos!R11</f>
        <v>20</v>
      </c>
      <c r="K10" s="50" t="str">
        <f aca="false">IF(IFERROR(Base_Datos!G11/(Base_Datos!P11/30),9999)&lt;7,"🔴 QUIEBRE",IF(IFERROR(Base_Datos!G11/(Base_Datos!P11/30),9999)&lt;14,"🟡 CRÍTICO",IF(IFERROR(Base_Datos!G11/(Base_Datos!P11/30),9999)&lt;=90,"🟢 NORMAL",IF(IFERROR(Base_Datos!G11/(Base_Datos!P11/30),9999)&lt;=180,"🟡 SOBRESTOCK","🔴 STOCK MUERTO"))))</f>
        <v>🟢 NORMAL</v>
      </c>
      <c r="L10" s="11" t="str">
        <f aca="false">IF(F10&lt;7,"⚠ SÍ","—")</f>
        <v>—</v>
      </c>
      <c r="M10" s="50" t="str">
        <f aca="false">IF(E10&gt;=PERCENTILE($E$5:$E$79,0.8),"A",IF(E10&gt;=PERCENTILE($E$5:$E$79,0.5),"B","C"))</f>
        <v>B</v>
      </c>
      <c r="N10" s="51" t="n">
        <f aca="false">IFERROR(Base_Datos!O11/Base_Datos!O83,0)</f>
        <v>0.0156722016097966</v>
      </c>
      <c r="O10" s="52" t="str">
        <f aca="false">IF(F10&lt;7,"REPOSICIÓN URGENTE",IF(F10&lt;14,"Revisar orden de compra",IF(AND(F10&gt;180,J10&gt;60),"LIQUIDAR / DEVOLVER",IF(F10&gt;90,"Reducir próxima compra","Stock en niveles óptimos"))))</f>
        <v>Stock en niveles óptimos</v>
      </c>
      <c r="P10" s="11" t="n">
        <f aca="false">IF(F10&lt;7,1,IF(AND(F10&gt;180,J10&gt;60),2,IF(F10&lt;14,3,IF(F10&gt;90,4,5))))</f>
        <v>5</v>
      </c>
    </row>
    <row r="11" customFormat="false" ht="18" hidden="false" customHeight="true" outlineLevel="0" collapsed="false">
      <c r="A11" s="33" t="str">
        <f aca="false">Base_Datos!A12</f>
        <v>SKU-007</v>
      </c>
      <c r="B11" s="34" t="str">
        <f aca="false">Base_Datos!B12</f>
        <v>Azúcar Blanca 1kg</v>
      </c>
      <c r="C11" s="35" t="str">
        <f aca="false">Base_Datos!C12</f>
        <v>Alimentos Secos</v>
      </c>
      <c r="D11" s="35" t="n">
        <f aca="false">Base_Datos!G12</f>
        <v>43</v>
      </c>
      <c r="E11" s="36" t="n">
        <f aca="false">Base_Datos!P12</f>
        <v>25.1666666666667</v>
      </c>
      <c r="F11" s="37" t="n">
        <f aca="false">IFERROR(Base_Datos!G12/(Base_Datos!P12/30),9999)</f>
        <v>51.2582781456954</v>
      </c>
      <c r="G11" s="38" t="n">
        <f aca="false">IFERROR(Base_Datos!O12/Base_Datos!G12,0)</f>
        <v>3.51162790697674</v>
      </c>
      <c r="H11" s="39" t="n">
        <f aca="false">Base_Datos!S12</f>
        <v>60.2</v>
      </c>
      <c r="I11" s="35" t="n">
        <f aca="false">Base_Datos!H12</f>
        <v>6</v>
      </c>
      <c r="J11" s="35" t="n">
        <f aca="false">Base_Datos!R12</f>
        <v>59</v>
      </c>
      <c r="K11" s="40" t="str">
        <f aca="false">IF(IFERROR(Base_Datos!G12/(Base_Datos!P12/30),9999)&lt;7,"🔴 QUIEBRE",IF(IFERROR(Base_Datos!G12/(Base_Datos!P12/30),9999)&lt;14,"🟡 CRÍTICO",IF(IFERROR(Base_Datos!G12/(Base_Datos!P12/30),9999)&lt;=90,"🟢 NORMAL",IF(IFERROR(Base_Datos!G12/(Base_Datos!P12/30),9999)&lt;=180,"🟡 SOBRESTOCK","🔴 STOCK MUERTO"))))</f>
        <v>🟢 NORMAL</v>
      </c>
      <c r="L11" s="20" t="str">
        <f aca="false">IF(F11&lt;7,"⚠ SÍ","—")</f>
        <v>—</v>
      </c>
      <c r="M11" s="40" t="str">
        <f aca="false">IF(E11&gt;=PERCENTILE($E$5:$E$79,0.8),"A",IF(E11&gt;=PERCENTILE($E$5:$E$79,0.5),"B","C"))</f>
        <v>C</v>
      </c>
      <c r="N11" s="41" t="n">
        <f aca="false">IFERROR(Base_Datos!O12/Base_Datos!O83,0)</f>
        <v>0.00306145206090465</v>
      </c>
      <c r="O11" s="42" t="str">
        <f aca="false">IF(F11&lt;7,"REPOSICIÓN URGENTE",IF(F11&lt;14,"Revisar orden de compra",IF(AND(F11&gt;180,J11&gt;60),"LIQUIDAR / DEVOLVER",IF(F11&gt;90,"Reducir próxima compra","Stock en niveles óptimos"))))</f>
        <v>Stock en niveles óptimos</v>
      </c>
      <c r="P11" s="20" t="n">
        <f aca="false">IF(F11&lt;7,1,IF(AND(F11&gt;180,J11&gt;60),2,IF(F11&lt;14,3,IF(F11&gt;90,4,5))))</f>
        <v>5</v>
      </c>
    </row>
    <row r="12" customFormat="false" ht="18" hidden="false" customHeight="true" outlineLevel="0" collapsed="false">
      <c r="A12" s="43" t="str">
        <f aca="false">Base_Datos!A13</f>
        <v>SKU-008</v>
      </c>
      <c r="B12" s="44" t="str">
        <f aca="false">Base_Datos!B13</f>
        <v>Azúcar Morena 1kg</v>
      </c>
      <c r="C12" s="45" t="str">
        <f aca="false">Base_Datos!C13</f>
        <v>Alimentos Secos</v>
      </c>
      <c r="D12" s="45" t="n">
        <f aca="false">Base_Datos!G13</f>
        <v>333</v>
      </c>
      <c r="E12" s="46" t="n">
        <f aca="false">Base_Datos!P13</f>
        <v>49.8333333333333</v>
      </c>
      <c r="F12" s="47" t="n">
        <f aca="false">IFERROR(Base_Datos!G13/(Base_Datos!P13/30),9999)</f>
        <v>200.468227424749</v>
      </c>
      <c r="G12" s="48" t="n">
        <f aca="false">IFERROR(Base_Datos!O13/Base_Datos!G13,0)</f>
        <v>0.897897897897898</v>
      </c>
      <c r="H12" s="49" t="n">
        <f aca="false">Base_Datos!S13</f>
        <v>532.8</v>
      </c>
      <c r="I12" s="45" t="n">
        <f aca="false">Base_Datos!H13</f>
        <v>9</v>
      </c>
      <c r="J12" s="45" t="n">
        <f aca="false">Base_Datos!R13</f>
        <v>21</v>
      </c>
      <c r="K12" s="50" t="str">
        <f aca="false">IF(IFERROR(Base_Datos!G13/(Base_Datos!P13/30),9999)&lt;7,"🔴 QUIEBRE",IF(IFERROR(Base_Datos!G13/(Base_Datos!P13/30),9999)&lt;14,"🟡 CRÍTICO",IF(IFERROR(Base_Datos!G13/(Base_Datos!P13/30),9999)&lt;=90,"🟢 NORMAL",IF(IFERROR(Base_Datos!G13/(Base_Datos!P13/30),9999)&lt;=180,"🟡 SOBRESTOCK","🔴 STOCK MUERTO"))))</f>
        <v>🔴 STOCK MUERTO</v>
      </c>
      <c r="L12" s="11" t="str">
        <f aca="false">IF(F12&lt;7,"⚠ SÍ","—")</f>
        <v>—</v>
      </c>
      <c r="M12" s="50" t="str">
        <f aca="false">IF(E12&gt;=PERCENTILE($E$5:$E$79,0.8),"A",IF(E12&gt;=PERCENTILE($E$5:$E$79,0.5),"B","C"))</f>
        <v>C</v>
      </c>
      <c r="N12" s="51" t="n">
        <f aca="false">IFERROR(Base_Datos!O13/Base_Datos!O83,0)</f>
        <v>0.0060620805709304</v>
      </c>
      <c r="O12" s="52" t="str">
        <f aca="false">IF(F12&lt;7,"REPOSICIÓN URGENTE",IF(F12&lt;14,"Revisar orden de compra",IF(AND(F12&gt;180,J12&gt;60),"LIQUIDAR / DEVOLVER",IF(F12&gt;90,"Reducir próxima compra","Stock en niveles óptimos"))))</f>
        <v>Reducir próxima compra</v>
      </c>
      <c r="P12" s="11" t="n">
        <f aca="false">IF(F12&lt;7,1,IF(AND(F12&gt;180,J12&gt;60),2,IF(F12&lt;14,3,IF(F12&gt;90,4,5))))</f>
        <v>4</v>
      </c>
    </row>
    <row r="13" customFormat="false" ht="18" hidden="false" customHeight="true" outlineLevel="0" collapsed="false">
      <c r="A13" s="33" t="str">
        <f aca="false">Base_Datos!A14</f>
        <v>SKU-009</v>
      </c>
      <c r="B13" s="34" t="str">
        <f aca="false">Base_Datos!B14</f>
        <v>Aceite de Girasol 900cc</v>
      </c>
      <c r="C13" s="35" t="str">
        <f aca="false">Base_Datos!C14</f>
        <v>Alimentos Secos</v>
      </c>
      <c r="D13" s="35" t="n">
        <f aca="false">Base_Datos!G14</f>
        <v>209</v>
      </c>
      <c r="E13" s="36" t="n">
        <f aca="false">Base_Datos!P14</f>
        <v>168.166666666667</v>
      </c>
      <c r="F13" s="37" t="n">
        <f aca="false">IFERROR(Base_Datos!G14/(Base_Datos!P14/30),9999)</f>
        <v>37.2844400396432</v>
      </c>
      <c r="G13" s="38" t="n">
        <f aca="false">IFERROR(Base_Datos!O14/Base_Datos!G14,0)</f>
        <v>4.82775119617225</v>
      </c>
      <c r="H13" s="39" t="n">
        <f aca="false">Base_Datos!S14</f>
        <v>606.1</v>
      </c>
      <c r="I13" s="35" t="n">
        <f aca="false">Base_Datos!H14</f>
        <v>39</v>
      </c>
      <c r="J13" s="35" t="n">
        <f aca="false">Base_Datos!R14</f>
        <v>29</v>
      </c>
      <c r="K13" s="40" t="str">
        <f aca="false">IF(IFERROR(Base_Datos!G14/(Base_Datos!P14/30),9999)&lt;7,"🔴 QUIEBRE",IF(IFERROR(Base_Datos!G14/(Base_Datos!P14/30),9999)&lt;14,"🟡 CRÍTICO",IF(IFERROR(Base_Datos!G14/(Base_Datos!P14/30),9999)&lt;=90,"🟢 NORMAL",IF(IFERROR(Base_Datos!G14/(Base_Datos!P14/30),9999)&lt;=180,"🟡 SOBRESTOCK","🔴 STOCK MUERTO"))))</f>
        <v>🟢 NORMAL</v>
      </c>
      <c r="L13" s="20" t="str">
        <f aca="false">IF(F13&lt;7,"⚠ SÍ","—")</f>
        <v>—</v>
      </c>
      <c r="M13" s="40" t="str">
        <f aca="false">IF(E13&gt;=PERCENTILE($E$5:$E$79,0.8),"A",IF(E13&gt;=PERCENTILE($E$5:$E$79,0.5),"B","C"))</f>
        <v>A</v>
      </c>
      <c r="N13" s="41" t="n">
        <f aca="false">IFERROR(Base_Datos!O14/Base_Datos!O83,0)</f>
        <v>0.0204569876122701</v>
      </c>
      <c r="O13" s="42" t="str">
        <f aca="false">IF(F13&lt;7,"REPOSICIÓN URGENTE",IF(F13&lt;14,"Revisar orden de compra",IF(AND(F13&gt;180,J13&gt;60),"LIQUIDAR / DEVOLVER",IF(F13&gt;90,"Reducir próxima compra","Stock en niveles óptimos"))))</f>
        <v>Stock en niveles óptimos</v>
      </c>
      <c r="P13" s="20" t="n">
        <f aca="false">IF(F13&lt;7,1,IF(AND(F13&gt;180,J13&gt;60),2,IF(F13&lt;14,3,IF(F13&gt;90,4,5))))</f>
        <v>5</v>
      </c>
    </row>
    <row r="14" customFormat="false" ht="18" hidden="false" customHeight="true" outlineLevel="0" collapsed="false">
      <c r="A14" s="43" t="str">
        <f aca="false">Base_Datos!A15</f>
        <v>SKU-010</v>
      </c>
      <c r="B14" s="44" t="str">
        <f aca="false">Base_Datos!B15</f>
        <v>Aceite de Girasol 1.8L</v>
      </c>
      <c r="C14" s="45" t="str">
        <f aca="false">Base_Datos!C15</f>
        <v>Alimentos Secos</v>
      </c>
      <c r="D14" s="45" t="n">
        <f aca="false">Base_Datos!G15</f>
        <v>162</v>
      </c>
      <c r="E14" s="46" t="n">
        <f aca="false">Base_Datos!P15</f>
        <v>153</v>
      </c>
      <c r="F14" s="47" t="n">
        <f aca="false">IFERROR(Base_Datos!G15/(Base_Datos!P15/30),9999)</f>
        <v>31.7647058823529</v>
      </c>
      <c r="G14" s="48" t="n">
        <f aca="false">IFERROR(Base_Datos!O15/Base_Datos!G15,0)</f>
        <v>5.66666666666667</v>
      </c>
      <c r="H14" s="49" t="n">
        <f aca="false">Base_Datos!S15</f>
        <v>891</v>
      </c>
      <c r="I14" s="45" t="n">
        <f aca="false">Base_Datos!H15</f>
        <v>26</v>
      </c>
      <c r="J14" s="45" t="n">
        <f aca="false">Base_Datos!R15</f>
        <v>22</v>
      </c>
      <c r="K14" s="50" t="str">
        <f aca="false">IF(IFERROR(Base_Datos!G15/(Base_Datos!P15/30),9999)&lt;7,"🔴 QUIEBRE",IF(IFERROR(Base_Datos!G15/(Base_Datos!P15/30),9999)&lt;14,"🟡 CRÍTICO",IF(IFERROR(Base_Datos!G15/(Base_Datos!P15/30),9999)&lt;=90,"🟢 NORMAL",IF(IFERROR(Base_Datos!G15/(Base_Datos!P15/30),9999)&lt;=180,"🟡 SOBRESTOCK","🔴 STOCK MUERTO"))))</f>
        <v>🟢 NORMAL</v>
      </c>
      <c r="L14" s="11" t="str">
        <f aca="false">IF(F14&lt;7,"⚠ SÍ","—")</f>
        <v>—</v>
      </c>
      <c r="M14" s="50" t="str">
        <f aca="false">IF(E14&gt;=PERCENTILE($E$5:$E$79,0.8),"A",IF(E14&gt;=PERCENTILE($E$5:$E$79,0.5),"B","C"))</f>
        <v>B</v>
      </c>
      <c r="N14" s="51" t="n">
        <f aca="false">IFERROR(Base_Datos!O15/Base_Datos!O83,0)</f>
        <v>0.0186120065689435</v>
      </c>
      <c r="O14" s="52" t="str">
        <f aca="false">IF(F14&lt;7,"REPOSICIÓN URGENTE",IF(F14&lt;14,"Revisar orden de compra",IF(AND(F14&gt;180,J14&gt;60),"LIQUIDAR / DEVOLVER",IF(F14&gt;90,"Reducir próxima compra","Stock en niveles óptimos"))))</f>
        <v>Stock en niveles óptimos</v>
      </c>
      <c r="P14" s="11" t="n">
        <f aca="false">IF(F14&lt;7,1,IF(AND(F14&gt;180,J14&gt;60),2,IF(F14&lt;14,3,IF(F14&gt;90,4,5))))</f>
        <v>5</v>
      </c>
    </row>
    <row r="15" customFormat="false" ht="18" hidden="false" customHeight="true" outlineLevel="0" collapsed="false">
      <c r="A15" s="33" t="str">
        <f aca="false">Base_Datos!A16</f>
        <v>SKU-011</v>
      </c>
      <c r="B15" s="34" t="str">
        <f aca="false">Base_Datos!B16</f>
        <v>Aceite de Maíz 900cc</v>
      </c>
      <c r="C15" s="35" t="str">
        <f aca="false">Base_Datos!C16</f>
        <v>Alimentos Secos</v>
      </c>
      <c r="D15" s="35" t="n">
        <f aca="false">Base_Datos!G16</f>
        <v>109</v>
      </c>
      <c r="E15" s="36" t="n">
        <f aca="false">Base_Datos!P16</f>
        <v>1.66666666666667</v>
      </c>
      <c r="F15" s="37" t="n">
        <f aca="false">IFERROR(Base_Datos!G16/(Base_Datos!P16/30),9999)</f>
        <v>1962</v>
      </c>
      <c r="G15" s="38" t="n">
        <f aca="false">IFERROR(Base_Datos!O16/Base_Datos!G16,0)</f>
        <v>0.0917431192660551</v>
      </c>
      <c r="H15" s="39" t="n">
        <f aca="false">Base_Datos!S16</f>
        <v>348.8</v>
      </c>
      <c r="I15" s="35" t="n">
        <f aca="false">Base_Datos!H16</f>
        <v>5</v>
      </c>
      <c r="J15" s="35" t="n">
        <f aca="false">Base_Datos!R16</f>
        <v>108</v>
      </c>
      <c r="K15" s="40" t="str">
        <f aca="false">IF(IFERROR(Base_Datos!G16/(Base_Datos!P16/30),9999)&lt;7,"🔴 QUIEBRE",IF(IFERROR(Base_Datos!G16/(Base_Datos!P16/30),9999)&lt;14,"🟡 CRÍTICO",IF(IFERROR(Base_Datos!G16/(Base_Datos!P16/30),9999)&lt;=90,"🟢 NORMAL",IF(IFERROR(Base_Datos!G16/(Base_Datos!P16/30),9999)&lt;=180,"🟡 SOBRESTOCK","🔴 STOCK MUERTO"))))</f>
        <v>🔴 STOCK MUERTO</v>
      </c>
      <c r="L15" s="20" t="str">
        <f aca="false">IF(F15&lt;7,"⚠ SÍ","—")</f>
        <v>—</v>
      </c>
      <c r="M15" s="40" t="str">
        <f aca="false">IF(E15&gt;=PERCENTILE($E$5:$E$79,0.8),"A",IF(E15&gt;=PERCENTILE($E$5:$E$79,0.5),"B","C"))</f>
        <v>C</v>
      </c>
      <c r="N15" s="41" t="n">
        <f aca="false">IFERROR(Base_Datos!O16/Base_Datos!O83,0)</f>
        <v>0.000202745169596334</v>
      </c>
      <c r="O15" s="42" t="str">
        <f aca="false">IF(F15&lt;7,"REPOSICIÓN URGENTE",IF(F15&lt;14,"Revisar orden de compra",IF(AND(F15&gt;180,J15&gt;60),"LIQUIDAR / DEVOLVER",IF(F15&gt;90,"Reducir próxima compra","Stock en niveles óptimos"))))</f>
        <v>LIQUIDAR / DEVOLVER</v>
      </c>
      <c r="P15" s="20" t="n">
        <f aca="false">IF(F15&lt;7,1,IF(AND(F15&gt;180,J15&gt;60),2,IF(F15&lt;14,3,IF(F15&gt;90,4,5))))</f>
        <v>2</v>
      </c>
    </row>
    <row r="16" customFormat="false" ht="18" hidden="false" customHeight="true" outlineLevel="0" collapsed="false">
      <c r="A16" s="43" t="str">
        <f aca="false">Base_Datos!A17</f>
        <v>SKU-012</v>
      </c>
      <c r="B16" s="44" t="str">
        <f aca="false">Base_Datos!B17</f>
        <v>Sal Fina 1kg</v>
      </c>
      <c r="C16" s="45" t="str">
        <f aca="false">Base_Datos!C17</f>
        <v>Alimentos Secos</v>
      </c>
      <c r="D16" s="45" t="n">
        <f aca="false">Base_Datos!G17</f>
        <v>88</v>
      </c>
      <c r="E16" s="46" t="n">
        <f aca="false">Base_Datos!P17</f>
        <v>406.666666666667</v>
      </c>
      <c r="F16" s="47" t="n">
        <f aca="false">IFERROR(Base_Datos!G17/(Base_Datos!P17/30),9999)</f>
        <v>6.49180327868853</v>
      </c>
      <c r="G16" s="48" t="n">
        <f aca="false">IFERROR(Base_Datos!O17/Base_Datos!G17,0)</f>
        <v>27.7272727272727</v>
      </c>
      <c r="H16" s="49" t="n">
        <f aca="false">Base_Datos!S17</f>
        <v>74.8</v>
      </c>
      <c r="I16" s="45" t="n">
        <f aca="false">Base_Datos!H17</f>
        <v>91</v>
      </c>
      <c r="J16" s="45" t="n">
        <f aca="false">Base_Datos!R17</f>
        <v>7</v>
      </c>
      <c r="K16" s="50" t="str">
        <f aca="false">IF(IFERROR(Base_Datos!G17/(Base_Datos!P17/30),9999)&lt;7,"🔴 QUIEBRE",IF(IFERROR(Base_Datos!G17/(Base_Datos!P17/30),9999)&lt;14,"🟡 CRÍTICO",IF(IFERROR(Base_Datos!G17/(Base_Datos!P17/30),9999)&lt;=90,"🟢 NORMAL",IF(IFERROR(Base_Datos!G17/(Base_Datos!P17/30),9999)&lt;=180,"🟡 SOBRESTOCK","🔴 STOCK MUERTO"))))</f>
        <v>🔴 QUIEBRE</v>
      </c>
      <c r="L16" s="11" t="str">
        <f aca="false">IF(F16&lt;7,"⚠ SÍ","—")</f>
        <v>⚠ SÍ</v>
      </c>
      <c r="M16" s="50" t="str">
        <f aca="false">IF(E16&gt;=PERCENTILE($E$5:$E$79,0.8),"A",IF(E16&gt;=PERCENTILE($E$5:$E$79,0.5),"B","C"))</f>
        <v>A</v>
      </c>
      <c r="N16" s="51" t="n">
        <f aca="false">IFERROR(Base_Datos!O17/Base_Datos!O83,0)</f>
        <v>0.0494698213815056</v>
      </c>
      <c r="O16" s="52" t="str">
        <f aca="false">IF(F16&lt;7,"REPOSICIÓN URGENTE",IF(F16&lt;14,"Revisar orden de compra",IF(AND(F16&gt;180,J16&gt;60),"LIQUIDAR / DEVOLVER",IF(F16&gt;90,"Reducir próxima compra","Stock en niveles óptimos"))))</f>
        <v>REPOSICIÓN URGENTE</v>
      </c>
      <c r="P16" s="11" t="n">
        <f aca="false">IF(F16&lt;7,1,IF(AND(F16&gt;180,J16&gt;60),2,IF(F16&lt;14,3,IF(F16&gt;90,4,5))))</f>
        <v>1</v>
      </c>
    </row>
    <row r="17" customFormat="false" ht="18" hidden="false" customHeight="true" outlineLevel="0" collapsed="false">
      <c r="A17" s="33" t="str">
        <f aca="false">Base_Datos!A18</f>
        <v>SKU-013</v>
      </c>
      <c r="B17" s="34" t="str">
        <f aca="false">Base_Datos!B18</f>
        <v>Sal Gruesa 1kg</v>
      </c>
      <c r="C17" s="35" t="str">
        <f aca="false">Base_Datos!C18</f>
        <v>Alimentos Secos</v>
      </c>
      <c r="D17" s="35" t="n">
        <f aca="false">Base_Datos!G18</f>
        <v>142</v>
      </c>
      <c r="E17" s="36" t="n">
        <f aca="false">Base_Datos!P18</f>
        <v>87.3333333333333</v>
      </c>
      <c r="F17" s="37" t="n">
        <f aca="false">IFERROR(Base_Datos!G18/(Base_Datos!P18/30),9999)</f>
        <v>48.7786259541985</v>
      </c>
      <c r="G17" s="38" t="n">
        <f aca="false">IFERROR(Base_Datos!O18/Base_Datos!G18,0)</f>
        <v>3.69014084507042</v>
      </c>
      <c r="H17" s="39" t="n">
        <f aca="false">Base_Datos!S18</f>
        <v>113.6</v>
      </c>
      <c r="I17" s="35" t="n">
        <f aca="false">Base_Datos!H18</f>
        <v>14</v>
      </c>
      <c r="J17" s="35" t="n">
        <f aca="false">Base_Datos!R18</f>
        <v>12</v>
      </c>
      <c r="K17" s="40" t="str">
        <f aca="false">IF(IFERROR(Base_Datos!G18/(Base_Datos!P18/30),9999)&lt;7,"🔴 QUIEBRE",IF(IFERROR(Base_Datos!G18/(Base_Datos!P18/30),9999)&lt;14,"🟡 CRÍTICO",IF(IFERROR(Base_Datos!G18/(Base_Datos!P18/30),9999)&lt;=90,"🟢 NORMAL",IF(IFERROR(Base_Datos!G18/(Base_Datos!P18/30),9999)&lt;=180,"🟡 SOBRESTOCK","🔴 STOCK MUERTO"))))</f>
        <v>🟢 NORMAL</v>
      </c>
      <c r="L17" s="20" t="str">
        <f aca="false">IF(F17&lt;7,"⚠ SÍ","—")</f>
        <v>—</v>
      </c>
      <c r="M17" s="40" t="str">
        <f aca="false">IF(E17&gt;=PERCENTILE($E$5:$E$79,0.8),"A",IF(E17&gt;=PERCENTILE($E$5:$E$79,0.5),"B","C"))</f>
        <v>C</v>
      </c>
      <c r="N17" s="41" t="n">
        <f aca="false">IFERROR(Base_Datos!O18/Base_Datos!O83,0)</f>
        <v>0.0106238468868479</v>
      </c>
      <c r="O17" s="42" t="str">
        <f aca="false">IF(F17&lt;7,"REPOSICIÓN URGENTE",IF(F17&lt;14,"Revisar orden de compra",IF(AND(F17&gt;180,J17&gt;60),"LIQUIDAR / DEVOLVER",IF(F17&gt;90,"Reducir próxima compra","Stock en niveles óptimos"))))</f>
        <v>Stock en niveles óptimos</v>
      </c>
      <c r="P17" s="20" t="n">
        <f aca="false">IF(F17&lt;7,1,IF(AND(F17&gt;180,J17&gt;60),2,IF(F17&lt;14,3,IF(F17&gt;90,4,5))))</f>
        <v>5</v>
      </c>
    </row>
    <row r="18" customFormat="false" ht="18" hidden="false" customHeight="true" outlineLevel="0" collapsed="false">
      <c r="A18" s="43" t="str">
        <f aca="false">Base_Datos!A19</f>
        <v>SKU-014</v>
      </c>
      <c r="B18" s="44" t="str">
        <f aca="false">Base_Datos!B19</f>
        <v>Yerba Mate 500g</v>
      </c>
      <c r="C18" s="45" t="str">
        <f aca="false">Base_Datos!C19</f>
        <v>Alimentos Secos</v>
      </c>
      <c r="D18" s="45" t="n">
        <f aca="false">Base_Datos!G19</f>
        <v>288</v>
      </c>
      <c r="E18" s="46" t="n">
        <f aca="false">Base_Datos!P19</f>
        <v>117.166666666667</v>
      </c>
      <c r="F18" s="47" t="n">
        <f aca="false">IFERROR(Base_Datos!G19/(Base_Datos!P19/30),9999)</f>
        <v>73.7411095305832</v>
      </c>
      <c r="G18" s="48" t="n">
        <f aca="false">IFERROR(Base_Datos!O19/Base_Datos!G19,0)</f>
        <v>2.44097222222222</v>
      </c>
      <c r="H18" s="49" t="n">
        <f aca="false">Base_Datos!S19</f>
        <v>1094.4</v>
      </c>
      <c r="I18" s="45" t="n">
        <f aca="false">Base_Datos!H19</f>
        <v>26</v>
      </c>
      <c r="J18" s="45" t="n">
        <f aca="false">Base_Datos!R19</f>
        <v>5</v>
      </c>
      <c r="K18" s="50" t="str">
        <f aca="false">IF(IFERROR(Base_Datos!G19/(Base_Datos!P19/30),9999)&lt;7,"🔴 QUIEBRE",IF(IFERROR(Base_Datos!G19/(Base_Datos!P19/30),9999)&lt;14,"🟡 CRÍTICO",IF(IFERROR(Base_Datos!G19/(Base_Datos!P19/30),9999)&lt;=90,"🟢 NORMAL",IF(IFERROR(Base_Datos!G19/(Base_Datos!P19/30),9999)&lt;=180,"🟡 SOBRESTOCK","🔴 STOCK MUERTO"))))</f>
        <v>🟢 NORMAL</v>
      </c>
      <c r="L18" s="11" t="str">
        <f aca="false">IF(F18&lt;7,"⚠ SÍ","—")</f>
        <v>—</v>
      </c>
      <c r="M18" s="50" t="str">
        <f aca="false">IF(E18&gt;=PERCENTILE($E$5:$E$79,0.8),"A",IF(E18&gt;=PERCENTILE($E$5:$E$79,0.5),"B","C"))</f>
        <v>B</v>
      </c>
      <c r="N18" s="51" t="n">
        <f aca="false">IFERROR(Base_Datos!O19/Base_Datos!O83,0)</f>
        <v>0.0142529854226223</v>
      </c>
      <c r="O18" s="52" t="str">
        <f aca="false">IF(F18&lt;7,"REPOSICIÓN URGENTE",IF(F18&lt;14,"Revisar orden de compra",IF(AND(F18&gt;180,J18&gt;60),"LIQUIDAR / DEVOLVER",IF(F18&gt;90,"Reducir próxima compra","Stock en niveles óptimos"))))</f>
        <v>Stock en niveles óptimos</v>
      </c>
      <c r="P18" s="11" t="n">
        <f aca="false">IF(F18&lt;7,1,IF(AND(F18&gt;180,J18&gt;60),2,IF(F18&lt;14,3,IF(F18&gt;90,4,5))))</f>
        <v>5</v>
      </c>
    </row>
    <row r="19" customFormat="false" ht="18" hidden="false" customHeight="true" outlineLevel="0" collapsed="false">
      <c r="A19" s="33" t="str">
        <f aca="false">Base_Datos!A20</f>
        <v>SKU-015</v>
      </c>
      <c r="B19" s="34" t="str">
        <f aca="false">Base_Datos!B20</f>
        <v>Yerba Mate 1kg</v>
      </c>
      <c r="C19" s="35" t="str">
        <f aca="false">Base_Datos!C20</f>
        <v>Alimentos Secos</v>
      </c>
      <c r="D19" s="35" t="n">
        <f aca="false">Base_Datos!G20</f>
        <v>540</v>
      </c>
      <c r="E19" s="36" t="n">
        <f aca="false">Base_Datos!P20</f>
        <v>79.1666666666667</v>
      </c>
      <c r="F19" s="37" t="n">
        <f aca="false">IFERROR(Base_Datos!G20/(Base_Datos!P20/30),9999)</f>
        <v>204.631578947368</v>
      </c>
      <c r="G19" s="38" t="n">
        <f aca="false">IFERROR(Base_Datos!O20/Base_Datos!G20,0)</f>
        <v>0.87962962962963</v>
      </c>
      <c r="H19" s="39" t="n">
        <f aca="false">Base_Datos!S20</f>
        <v>3888</v>
      </c>
      <c r="I19" s="35" t="n">
        <f aca="false">Base_Datos!H20</f>
        <v>20</v>
      </c>
      <c r="J19" s="35" t="n">
        <f aca="false">Base_Datos!R20</f>
        <v>23</v>
      </c>
      <c r="K19" s="40" t="str">
        <f aca="false">IF(IFERROR(Base_Datos!G20/(Base_Datos!P20/30),9999)&lt;7,"🔴 QUIEBRE",IF(IFERROR(Base_Datos!G20/(Base_Datos!P20/30),9999)&lt;14,"🟡 CRÍTICO",IF(IFERROR(Base_Datos!G20/(Base_Datos!P20/30),9999)&lt;=90,"🟢 NORMAL",IF(IFERROR(Base_Datos!G20/(Base_Datos!P20/30),9999)&lt;=180,"🟡 SOBRESTOCK","🔴 STOCK MUERTO"))))</f>
        <v>🔴 STOCK MUERTO</v>
      </c>
      <c r="L19" s="20" t="str">
        <f aca="false">IF(F19&lt;7,"⚠ SÍ","—")</f>
        <v>—</v>
      </c>
      <c r="M19" s="40" t="str">
        <f aca="false">IF(E19&gt;=PERCENTILE($E$5:$E$79,0.8),"A",IF(E19&gt;=PERCENTILE($E$5:$E$79,0.5),"B","C"))</f>
        <v>C</v>
      </c>
      <c r="N19" s="41" t="n">
        <f aca="false">IFERROR(Base_Datos!O20/Base_Datos!O83,0)</f>
        <v>0.00963039555582588</v>
      </c>
      <c r="O19" s="42" t="str">
        <f aca="false">IF(F19&lt;7,"REPOSICIÓN URGENTE",IF(F19&lt;14,"Revisar orden de compra",IF(AND(F19&gt;180,J19&gt;60),"LIQUIDAR / DEVOLVER",IF(F19&gt;90,"Reducir próxima compra","Stock en niveles óptimos"))))</f>
        <v>Reducir próxima compra</v>
      </c>
      <c r="P19" s="20" t="n">
        <f aca="false">IF(F19&lt;7,1,IF(AND(F19&gt;180,J19&gt;60),2,IF(F19&lt;14,3,IF(F19&gt;90,4,5))))</f>
        <v>4</v>
      </c>
    </row>
    <row r="20" customFormat="false" ht="18" hidden="false" customHeight="true" outlineLevel="0" collapsed="false">
      <c r="A20" s="43" t="str">
        <f aca="false">Base_Datos!A21</f>
        <v>SKU-016</v>
      </c>
      <c r="B20" s="44" t="str">
        <f aca="false">Base_Datos!B21</f>
        <v>Café Molido 250g</v>
      </c>
      <c r="C20" s="45" t="str">
        <f aca="false">Base_Datos!C21</f>
        <v>Alimentos Secos</v>
      </c>
      <c r="D20" s="45" t="n">
        <f aca="false">Base_Datos!G21</f>
        <v>13</v>
      </c>
      <c r="E20" s="46" t="n">
        <f aca="false">Base_Datos!P21</f>
        <v>11.1666666666667</v>
      </c>
      <c r="F20" s="47" t="n">
        <f aca="false">IFERROR(Base_Datos!G21/(Base_Datos!P21/30),9999)</f>
        <v>34.9253731343284</v>
      </c>
      <c r="G20" s="48" t="n">
        <f aca="false">IFERROR(Base_Datos!O21/Base_Datos!G21,0)</f>
        <v>5.15384615384615</v>
      </c>
      <c r="H20" s="49" t="n">
        <f aca="false">Base_Datos!S21</f>
        <v>58.5</v>
      </c>
      <c r="I20" s="45" t="n">
        <f aca="false">Base_Datos!H21</f>
        <v>5</v>
      </c>
      <c r="J20" s="45" t="n">
        <f aca="false">Base_Datos!R21</f>
        <v>35</v>
      </c>
      <c r="K20" s="50" t="str">
        <f aca="false">IF(IFERROR(Base_Datos!G21/(Base_Datos!P21/30),9999)&lt;7,"🔴 QUIEBRE",IF(IFERROR(Base_Datos!G21/(Base_Datos!P21/30),9999)&lt;14,"🟡 CRÍTICO",IF(IFERROR(Base_Datos!G21/(Base_Datos!P21/30),9999)&lt;=90,"🟢 NORMAL",IF(IFERROR(Base_Datos!G21/(Base_Datos!P21/30),9999)&lt;=180,"🟡 SOBRESTOCK","🔴 STOCK MUERTO"))))</f>
        <v>🟢 NORMAL</v>
      </c>
      <c r="L20" s="11" t="str">
        <f aca="false">IF(F20&lt;7,"⚠ SÍ","—")</f>
        <v>—</v>
      </c>
      <c r="M20" s="50" t="str">
        <f aca="false">IF(E20&gt;=PERCENTILE($E$5:$E$79,0.8),"A",IF(E20&gt;=PERCENTILE($E$5:$E$79,0.5),"B","C"))</f>
        <v>C</v>
      </c>
      <c r="N20" s="51" t="n">
        <f aca="false">IFERROR(Base_Datos!O21/Base_Datos!O83,0)</f>
        <v>0.00135839263629544</v>
      </c>
      <c r="O20" s="52" t="str">
        <f aca="false">IF(F20&lt;7,"REPOSICIÓN URGENTE",IF(F20&lt;14,"Revisar orden de compra",IF(AND(F20&gt;180,J20&gt;60),"LIQUIDAR / DEVOLVER",IF(F20&gt;90,"Reducir próxima compra","Stock en niveles óptimos"))))</f>
        <v>Stock en niveles óptimos</v>
      </c>
      <c r="P20" s="11" t="n">
        <f aca="false">IF(F20&lt;7,1,IF(AND(F20&gt;180,J20&gt;60),2,IF(F20&lt;14,3,IF(F20&gt;90,4,5))))</f>
        <v>5</v>
      </c>
    </row>
    <row r="21" customFormat="false" ht="18" hidden="false" customHeight="true" outlineLevel="0" collapsed="false">
      <c r="A21" s="33" t="str">
        <f aca="false">Base_Datos!A22</f>
        <v>SKU-017</v>
      </c>
      <c r="B21" s="34" t="str">
        <f aca="false">Base_Datos!B22</f>
        <v>Té en Saquitos x20</v>
      </c>
      <c r="C21" s="35" t="str">
        <f aca="false">Base_Datos!C22</f>
        <v>Alimentos Secos</v>
      </c>
      <c r="D21" s="35" t="n">
        <f aca="false">Base_Datos!G22</f>
        <v>117</v>
      </c>
      <c r="E21" s="36" t="n">
        <f aca="false">Base_Datos!P22</f>
        <v>86.1666666666667</v>
      </c>
      <c r="F21" s="37" t="n">
        <f aca="false">IFERROR(Base_Datos!G22/(Base_Datos!P22/30),9999)</f>
        <v>40.7350096711799</v>
      </c>
      <c r="G21" s="38" t="n">
        <f aca="false">IFERROR(Base_Datos!O22/Base_Datos!G22,0)</f>
        <v>4.41880341880342</v>
      </c>
      <c r="H21" s="39" t="n">
        <f aca="false">Base_Datos!S22</f>
        <v>245.7</v>
      </c>
      <c r="I21" s="35" t="n">
        <f aca="false">Base_Datos!H22</f>
        <v>19</v>
      </c>
      <c r="J21" s="35" t="n">
        <f aca="false">Base_Datos!R22</f>
        <v>9</v>
      </c>
      <c r="K21" s="40" t="str">
        <f aca="false">IF(IFERROR(Base_Datos!G22/(Base_Datos!P22/30),9999)&lt;7,"🔴 QUIEBRE",IF(IFERROR(Base_Datos!G22/(Base_Datos!P22/30),9999)&lt;14,"🟡 CRÍTICO",IF(IFERROR(Base_Datos!G22/(Base_Datos!P22/30),9999)&lt;=90,"🟢 NORMAL",IF(IFERROR(Base_Datos!G22/(Base_Datos!P22/30),9999)&lt;=180,"🟡 SOBRESTOCK","🔴 STOCK MUERTO"))))</f>
        <v>🟢 NORMAL</v>
      </c>
      <c r="L21" s="20" t="str">
        <f aca="false">IF(F21&lt;7,"⚠ SÍ","—")</f>
        <v>—</v>
      </c>
      <c r="M21" s="40" t="str">
        <f aca="false">IF(E21&gt;=PERCENTILE($E$5:$E$79,0.8),"A",IF(E21&gt;=PERCENTILE($E$5:$E$79,0.5),"B","C"))</f>
        <v>C</v>
      </c>
      <c r="N21" s="41" t="n">
        <f aca="false">IFERROR(Base_Datos!O22/Base_Datos!O83,0)</f>
        <v>0.0104819252681305</v>
      </c>
      <c r="O21" s="42" t="str">
        <f aca="false">IF(F21&lt;7,"REPOSICIÓN URGENTE",IF(F21&lt;14,"Revisar orden de compra",IF(AND(F21&gt;180,J21&gt;60),"LIQUIDAR / DEVOLVER",IF(F21&gt;90,"Reducir próxima compra","Stock en niveles óptimos"))))</f>
        <v>Stock en niveles óptimos</v>
      </c>
      <c r="P21" s="20" t="n">
        <f aca="false">IF(F21&lt;7,1,IF(AND(F21&gt;180,J21&gt;60),2,IF(F21&lt;14,3,IF(F21&gt;90,4,5))))</f>
        <v>5</v>
      </c>
    </row>
    <row r="22" customFormat="false" ht="18" hidden="false" customHeight="true" outlineLevel="0" collapsed="false">
      <c r="A22" s="43" t="str">
        <f aca="false">Base_Datos!A23</f>
        <v>SKU-018</v>
      </c>
      <c r="B22" s="44" t="str">
        <f aca="false">Base_Datos!B23</f>
        <v>Galletitas Dulces 200g</v>
      </c>
      <c r="C22" s="45" t="str">
        <f aca="false">Base_Datos!C23</f>
        <v>Alimentos Secos</v>
      </c>
      <c r="D22" s="45" t="n">
        <f aca="false">Base_Datos!G23</f>
        <v>367</v>
      </c>
      <c r="E22" s="46" t="n">
        <f aca="false">Base_Datos!P23</f>
        <v>169.166666666667</v>
      </c>
      <c r="F22" s="47" t="n">
        <f aca="false">IFERROR(Base_Datos!G23/(Base_Datos!P23/30),9999)</f>
        <v>65.0837438423645</v>
      </c>
      <c r="G22" s="48" t="n">
        <f aca="false">IFERROR(Base_Datos!O23/Base_Datos!G23,0)</f>
        <v>2.76566757493188</v>
      </c>
      <c r="H22" s="49" t="n">
        <f aca="false">Base_Datos!S23</f>
        <v>697.3</v>
      </c>
      <c r="I22" s="45" t="n">
        <f aca="false">Base_Datos!H23</f>
        <v>30</v>
      </c>
      <c r="J22" s="45" t="n">
        <f aca="false">Base_Datos!R23</f>
        <v>4</v>
      </c>
      <c r="K22" s="50" t="str">
        <f aca="false">IF(IFERROR(Base_Datos!G23/(Base_Datos!P23/30),9999)&lt;7,"🔴 QUIEBRE",IF(IFERROR(Base_Datos!G23/(Base_Datos!P23/30),9999)&lt;14,"🟡 CRÍTICO",IF(IFERROR(Base_Datos!G23/(Base_Datos!P23/30),9999)&lt;=90,"🟢 NORMAL",IF(IFERROR(Base_Datos!G23/(Base_Datos!P23/30),9999)&lt;=180,"🟡 SOBRESTOCK","🔴 STOCK MUERTO"))))</f>
        <v>🟢 NORMAL</v>
      </c>
      <c r="L22" s="11" t="str">
        <f aca="false">IF(F22&lt;7,"⚠ SÍ","—")</f>
        <v>—</v>
      </c>
      <c r="M22" s="50" t="str">
        <f aca="false">IF(E22&gt;=PERCENTILE($E$5:$E$79,0.8),"A",IF(E22&gt;=PERCENTILE($E$5:$E$79,0.5),"B","C"))</f>
        <v>A</v>
      </c>
      <c r="N22" s="51" t="n">
        <f aca="false">IFERROR(Base_Datos!O23/Base_Datos!O83,0)</f>
        <v>0.0205786347140279</v>
      </c>
      <c r="O22" s="52" t="str">
        <f aca="false">IF(F22&lt;7,"REPOSICIÓN URGENTE",IF(F22&lt;14,"Revisar orden de compra",IF(AND(F22&gt;180,J22&gt;60),"LIQUIDAR / DEVOLVER",IF(F22&gt;90,"Reducir próxima compra","Stock en niveles óptimos"))))</f>
        <v>Stock en niveles óptimos</v>
      </c>
      <c r="P22" s="11" t="n">
        <f aca="false">IF(F22&lt;7,1,IF(AND(F22&gt;180,J22&gt;60),2,IF(F22&lt;14,3,IF(F22&gt;90,4,5))))</f>
        <v>5</v>
      </c>
    </row>
    <row r="23" customFormat="false" ht="18" hidden="false" customHeight="true" outlineLevel="0" collapsed="false">
      <c r="A23" s="33" t="str">
        <f aca="false">Base_Datos!A24</f>
        <v>SKU-019</v>
      </c>
      <c r="B23" s="34" t="str">
        <f aca="false">Base_Datos!B24</f>
        <v>Galletitas Crackers 200g</v>
      </c>
      <c r="C23" s="35" t="str">
        <f aca="false">Base_Datos!C24</f>
        <v>Alimentos Secos</v>
      </c>
      <c r="D23" s="35" t="n">
        <f aca="false">Base_Datos!G24</f>
        <v>710</v>
      </c>
      <c r="E23" s="36" t="n">
        <f aca="false">Base_Datos!P24</f>
        <v>152.833333333333</v>
      </c>
      <c r="F23" s="37" t="n">
        <f aca="false">IFERROR(Base_Datos!G24/(Base_Datos!P24/30),9999)</f>
        <v>139.367502726281</v>
      </c>
      <c r="G23" s="38" t="n">
        <f aca="false">IFERROR(Base_Datos!O24/Base_Datos!G24,0)</f>
        <v>1.29154929577465</v>
      </c>
      <c r="H23" s="39" t="n">
        <f aca="false">Base_Datos!S24</f>
        <v>1242.5</v>
      </c>
      <c r="I23" s="35" t="n">
        <f aca="false">Base_Datos!H24</f>
        <v>39</v>
      </c>
      <c r="J23" s="35" t="n">
        <f aca="false">Base_Datos!R24</f>
        <v>26</v>
      </c>
      <c r="K23" s="40" t="str">
        <f aca="false">IF(IFERROR(Base_Datos!G24/(Base_Datos!P24/30),9999)&lt;7,"🔴 QUIEBRE",IF(IFERROR(Base_Datos!G24/(Base_Datos!P24/30),9999)&lt;14,"🟡 CRÍTICO",IF(IFERROR(Base_Datos!G24/(Base_Datos!P24/30),9999)&lt;=90,"🟢 NORMAL",IF(IFERROR(Base_Datos!G24/(Base_Datos!P24/30),9999)&lt;=180,"🟡 SOBRESTOCK","🔴 STOCK MUERTO"))))</f>
        <v>🟡 SOBRESTOCK</v>
      </c>
      <c r="L23" s="20" t="str">
        <f aca="false">IF(F23&lt;7,"⚠ SÍ","—")</f>
        <v>—</v>
      </c>
      <c r="M23" s="40" t="str">
        <f aca="false">IF(E23&gt;=PERCENTILE($E$5:$E$79,0.8),"A",IF(E23&gt;=PERCENTILE($E$5:$E$79,0.5),"B","C"))</f>
        <v>B</v>
      </c>
      <c r="N23" s="41" t="n">
        <f aca="false">IFERROR(Base_Datos!O24/Base_Datos!O83,0)</f>
        <v>0.0185917320519839</v>
      </c>
      <c r="O23" s="42" t="str">
        <f aca="false">IF(F23&lt;7,"REPOSICIÓN URGENTE",IF(F23&lt;14,"Revisar orden de compra",IF(AND(F23&gt;180,J23&gt;60),"LIQUIDAR / DEVOLVER",IF(F23&gt;90,"Reducir próxima compra","Stock en niveles óptimos"))))</f>
        <v>Reducir próxima compra</v>
      </c>
      <c r="P23" s="20" t="n">
        <f aca="false">IF(F23&lt;7,1,IF(AND(F23&gt;180,J23&gt;60),2,IF(F23&lt;14,3,IF(F23&gt;90,4,5))))</f>
        <v>4</v>
      </c>
    </row>
    <row r="24" customFormat="false" ht="18" hidden="false" customHeight="true" outlineLevel="0" collapsed="false">
      <c r="A24" s="43" t="str">
        <f aca="false">Base_Datos!A25</f>
        <v>SKU-020</v>
      </c>
      <c r="B24" s="44" t="str">
        <f aca="false">Base_Datos!B25</f>
        <v>Puré de Tomate 520g</v>
      </c>
      <c r="C24" s="45" t="str">
        <f aca="false">Base_Datos!C25</f>
        <v>Alimentos Secos</v>
      </c>
      <c r="D24" s="45" t="n">
        <f aca="false">Base_Datos!G25</f>
        <v>193</v>
      </c>
      <c r="E24" s="46" t="n">
        <f aca="false">Base_Datos!P25</f>
        <v>0.333333333333333</v>
      </c>
      <c r="F24" s="47" t="n">
        <f aca="false">IFERROR(Base_Datos!G25/(Base_Datos!P25/30),9999)</f>
        <v>17370</v>
      </c>
      <c r="G24" s="48" t="n">
        <f aca="false">IFERROR(Base_Datos!O25/Base_Datos!G25,0)</f>
        <v>0.0103626943005181</v>
      </c>
      <c r="H24" s="49" t="n">
        <f aca="false">Base_Datos!S25</f>
        <v>250.9</v>
      </c>
      <c r="I24" s="45" t="n">
        <f aca="false">Base_Datos!H25</f>
        <v>5</v>
      </c>
      <c r="J24" s="45" t="n">
        <f aca="false">Base_Datos!R25</f>
        <v>92</v>
      </c>
      <c r="K24" s="50" t="str">
        <f aca="false">IF(IFERROR(Base_Datos!G25/(Base_Datos!P25/30),9999)&lt;7,"🔴 QUIEBRE",IF(IFERROR(Base_Datos!G25/(Base_Datos!P25/30),9999)&lt;14,"🟡 CRÍTICO",IF(IFERROR(Base_Datos!G25/(Base_Datos!P25/30),9999)&lt;=90,"🟢 NORMAL",IF(IFERROR(Base_Datos!G25/(Base_Datos!P25/30),9999)&lt;=180,"🟡 SOBRESTOCK","🔴 STOCK MUERTO"))))</f>
        <v>🔴 STOCK MUERTO</v>
      </c>
      <c r="L24" s="11" t="str">
        <f aca="false">IF(F24&lt;7,"⚠ SÍ","—")</f>
        <v>—</v>
      </c>
      <c r="M24" s="50" t="str">
        <f aca="false">IF(E24&gt;=PERCENTILE($E$5:$E$79,0.8),"A",IF(E24&gt;=PERCENTILE($E$5:$E$79,0.5),"B","C"))</f>
        <v>C</v>
      </c>
      <c r="N24" s="51" t="n">
        <f aca="false">IFERROR(Base_Datos!O25/Base_Datos!O83,0)</f>
        <v>4.05490339192669E-005</v>
      </c>
      <c r="O24" s="52" t="str">
        <f aca="false">IF(F24&lt;7,"REPOSICIÓN URGENTE",IF(F24&lt;14,"Revisar orden de compra",IF(AND(F24&gt;180,J24&gt;60),"LIQUIDAR / DEVOLVER",IF(F24&gt;90,"Reducir próxima compra","Stock en niveles óptimos"))))</f>
        <v>LIQUIDAR / DEVOLVER</v>
      </c>
      <c r="P24" s="11" t="n">
        <f aca="false">IF(F24&lt;7,1,IF(AND(F24&gt;180,J24&gt;60),2,IF(F24&lt;14,3,IF(F24&gt;90,4,5))))</f>
        <v>2</v>
      </c>
    </row>
    <row r="25" customFormat="false" ht="18" hidden="false" customHeight="true" outlineLevel="0" collapsed="false">
      <c r="A25" s="33" t="str">
        <f aca="false">Base_Datos!A26</f>
        <v>SKU-021</v>
      </c>
      <c r="B25" s="34" t="str">
        <f aca="false">Base_Datos!B26</f>
        <v>Tomate Triturado 400g</v>
      </c>
      <c r="C25" s="35" t="str">
        <f aca="false">Base_Datos!C26</f>
        <v>Alimentos Secos</v>
      </c>
      <c r="D25" s="35" t="n">
        <f aca="false">Base_Datos!G26</f>
        <v>209</v>
      </c>
      <c r="E25" s="36" t="n">
        <f aca="false">Base_Datos!P26</f>
        <v>98.1666666666667</v>
      </c>
      <c r="F25" s="37" t="n">
        <f aca="false">IFERROR(Base_Datos!G26/(Base_Datos!P26/30),9999)</f>
        <v>63.8709677419355</v>
      </c>
      <c r="G25" s="38" t="n">
        <f aca="false">IFERROR(Base_Datos!O26/Base_Datos!G26,0)</f>
        <v>2.81818181818182</v>
      </c>
      <c r="H25" s="39" t="n">
        <f aca="false">Base_Datos!S26</f>
        <v>229.9</v>
      </c>
      <c r="I25" s="35" t="n">
        <f aca="false">Base_Datos!H26</f>
        <v>18</v>
      </c>
      <c r="J25" s="35" t="n">
        <f aca="false">Base_Datos!R26</f>
        <v>23</v>
      </c>
      <c r="K25" s="40" t="str">
        <f aca="false">IF(IFERROR(Base_Datos!G26/(Base_Datos!P26/30),9999)&lt;7,"🔴 QUIEBRE",IF(IFERROR(Base_Datos!G26/(Base_Datos!P26/30),9999)&lt;14,"🟡 CRÍTICO",IF(IFERROR(Base_Datos!G26/(Base_Datos!P26/30),9999)&lt;=90,"🟢 NORMAL",IF(IFERROR(Base_Datos!G26/(Base_Datos!P26/30),9999)&lt;=180,"🟡 SOBRESTOCK","🔴 STOCK MUERTO"))))</f>
        <v>🟢 NORMAL</v>
      </c>
      <c r="L25" s="20" t="str">
        <f aca="false">IF(F25&lt;7,"⚠ SÍ","—")</f>
        <v>—</v>
      </c>
      <c r="M25" s="40" t="str">
        <f aca="false">IF(E25&gt;=PERCENTILE($E$5:$E$79,0.8),"A",IF(E25&gt;=PERCENTILE($E$5:$E$79,0.5),"B","C"))</f>
        <v>B</v>
      </c>
      <c r="N25" s="41" t="n">
        <f aca="false">IFERROR(Base_Datos!O26/Base_Datos!O83,0)</f>
        <v>0.0119416904892241</v>
      </c>
      <c r="O25" s="42" t="str">
        <f aca="false">IF(F25&lt;7,"REPOSICIÓN URGENTE",IF(F25&lt;14,"Revisar orden de compra",IF(AND(F25&gt;180,J25&gt;60),"LIQUIDAR / DEVOLVER",IF(F25&gt;90,"Reducir próxima compra","Stock en niveles óptimos"))))</f>
        <v>Stock en niveles óptimos</v>
      </c>
      <c r="P25" s="20" t="n">
        <f aca="false">IF(F25&lt;7,1,IF(AND(F25&gt;180,J25&gt;60),2,IF(F25&lt;14,3,IF(F25&gt;90,4,5))))</f>
        <v>5</v>
      </c>
    </row>
    <row r="26" customFormat="false" ht="18" hidden="false" customHeight="true" outlineLevel="0" collapsed="false">
      <c r="A26" s="43" t="str">
        <f aca="false">Base_Datos!A27</f>
        <v>SKU-022</v>
      </c>
      <c r="B26" s="44" t="str">
        <f aca="false">Base_Datos!B27</f>
        <v>Mayonesa 500g</v>
      </c>
      <c r="C26" s="45" t="str">
        <f aca="false">Base_Datos!C27</f>
        <v>Alimentos Secos</v>
      </c>
      <c r="D26" s="45" t="n">
        <f aca="false">Base_Datos!G27</f>
        <v>25</v>
      </c>
      <c r="E26" s="46" t="n">
        <f aca="false">Base_Datos!P27</f>
        <v>406.833333333333</v>
      </c>
      <c r="F26" s="47" t="n">
        <f aca="false">IFERROR(Base_Datos!G27/(Base_Datos!P27/30),9999)</f>
        <v>1.84350675952479</v>
      </c>
      <c r="G26" s="48" t="n">
        <f aca="false">IFERROR(Base_Datos!O27/Base_Datos!G27,0)</f>
        <v>97.64</v>
      </c>
      <c r="H26" s="49" t="n">
        <f aca="false">Base_Datos!S27</f>
        <v>85</v>
      </c>
      <c r="I26" s="45" t="n">
        <f aca="false">Base_Datos!H27</f>
        <v>105</v>
      </c>
      <c r="J26" s="45" t="n">
        <f aca="false">Base_Datos!R27</f>
        <v>2</v>
      </c>
      <c r="K26" s="50" t="str">
        <f aca="false">IF(IFERROR(Base_Datos!G27/(Base_Datos!P27/30),9999)&lt;7,"🔴 QUIEBRE",IF(IFERROR(Base_Datos!G27/(Base_Datos!P27/30),9999)&lt;14,"🟡 CRÍTICO",IF(IFERROR(Base_Datos!G27/(Base_Datos!P27/30),9999)&lt;=90,"🟢 NORMAL",IF(IFERROR(Base_Datos!G27/(Base_Datos!P27/30),9999)&lt;=180,"🟡 SOBRESTOCK","🔴 STOCK MUERTO"))))</f>
        <v>🔴 QUIEBRE</v>
      </c>
      <c r="L26" s="11" t="str">
        <f aca="false">IF(F26&lt;7,"⚠ SÍ","—")</f>
        <v>⚠ SÍ</v>
      </c>
      <c r="M26" s="50" t="str">
        <f aca="false">IF(E26&gt;=PERCENTILE($E$5:$E$79,0.8),"A",IF(E26&gt;=PERCENTILE($E$5:$E$79,0.5),"B","C"))</f>
        <v>A</v>
      </c>
      <c r="N26" s="51" t="n">
        <f aca="false">IFERROR(Base_Datos!O27/Base_Datos!O83,0)</f>
        <v>0.0494900958984652</v>
      </c>
      <c r="O26" s="52" t="str">
        <f aca="false">IF(F26&lt;7,"REPOSICIÓN URGENTE",IF(F26&lt;14,"Revisar orden de compra",IF(AND(F26&gt;180,J26&gt;60),"LIQUIDAR / DEVOLVER",IF(F26&gt;90,"Reducir próxima compra","Stock en niveles óptimos"))))</f>
        <v>REPOSICIÓN URGENTE</v>
      </c>
      <c r="P26" s="11" t="n">
        <f aca="false">IF(F26&lt;7,1,IF(AND(F26&gt;180,J26&gt;60),2,IF(F26&lt;14,3,IF(F26&gt;90,4,5))))</f>
        <v>1</v>
      </c>
    </row>
    <row r="27" customFormat="false" ht="18" hidden="false" customHeight="true" outlineLevel="0" collapsed="false">
      <c r="A27" s="33" t="str">
        <f aca="false">Base_Datos!A28</f>
        <v>SKU-023</v>
      </c>
      <c r="B27" s="34" t="str">
        <f aca="false">Base_Datos!B28</f>
        <v>Ketchup 400g</v>
      </c>
      <c r="C27" s="35" t="str">
        <f aca="false">Base_Datos!C28</f>
        <v>Alimentos Secos</v>
      </c>
      <c r="D27" s="35" t="n">
        <f aca="false">Base_Datos!G28</f>
        <v>115</v>
      </c>
      <c r="E27" s="36" t="n">
        <f aca="false">Base_Datos!P28</f>
        <v>123.833333333333</v>
      </c>
      <c r="F27" s="37" t="n">
        <f aca="false">IFERROR(Base_Datos!G28/(Base_Datos!P28/30),9999)</f>
        <v>27.8600269179004</v>
      </c>
      <c r="G27" s="38" t="n">
        <f aca="false">IFERROR(Base_Datos!O28/Base_Datos!G28,0)</f>
        <v>6.46086956521739</v>
      </c>
      <c r="H27" s="39" t="n">
        <f aca="false">Base_Datos!S28</f>
        <v>322</v>
      </c>
      <c r="I27" s="35" t="n">
        <f aca="false">Base_Datos!H28</f>
        <v>22</v>
      </c>
      <c r="J27" s="35" t="n">
        <f aca="false">Base_Datos!R28</f>
        <v>20</v>
      </c>
      <c r="K27" s="40" t="str">
        <f aca="false">IF(IFERROR(Base_Datos!G28/(Base_Datos!P28/30),9999)&lt;7,"🔴 QUIEBRE",IF(IFERROR(Base_Datos!G28/(Base_Datos!P28/30),9999)&lt;14,"🟡 CRÍTICO",IF(IFERROR(Base_Datos!G28/(Base_Datos!P28/30),9999)&lt;=90,"🟢 NORMAL",IF(IFERROR(Base_Datos!G28/(Base_Datos!P28/30),9999)&lt;=180,"🟡 SOBRESTOCK","🔴 STOCK MUERTO"))))</f>
        <v>🟢 NORMAL</v>
      </c>
      <c r="L27" s="20" t="str">
        <f aca="false">IF(F27&lt;7,"⚠ SÍ","—")</f>
        <v>—</v>
      </c>
      <c r="M27" s="40" t="str">
        <f aca="false">IF(E27&gt;=PERCENTILE($E$5:$E$79,0.8),"A",IF(E27&gt;=PERCENTILE($E$5:$E$79,0.5),"B","C"))</f>
        <v>B</v>
      </c>
      <c r="N27" s="41" t="n">
        <f aca="false">IFERROR(Base_Datos!O28/Base_Datos!O83,0)</f>
        <v>0.0150639661010076</v>
      </c>
      <c r="O27" s="42" t="str">
        <f aca="false">IF(F27&lt;7,"REPOSICIÓN URGENTE",IF(F27&lt;14,"Revisar orden de compra",IF(AND(F27&gt;180,J27&gt;60),"LIQUIDAR / DEVOLVER",IF(F27&gt;90,"Reducir próxima compra","Stock en niveles óptimos"))))</f>
        <v>Stock en niveles óptimos</v>
      </c>
      <c r="P27" s="20" t="n">
        <f aca="false">IF(F27&lt;7,1,IF(AND(F27&gt;180,J27&gt;60),2,IF(F27&lt;14,3,IF(F27&gt;90,4,5))))</f>
        <v>5</v>
      </c>
    </row>
    <row r="28" customFormat="false" ht="18" hidden="false" customHeight="true" outlineLevel="0" collapsed="false">
      <c r="A28" s="43" t="str">
        <f aca="false">Base_Datos!A29</f>
        <v>SKU-024</v>
      </c>
      <c r="B28" s="44" t="str">
        <f aca="false">Base_Datos!B29</f>
        <v>Lentejas 500g</v>
      </c>
      <c r="C28" s="45" t="str">
        <f aca="false">Base_Datos!C29</f>
        <v>Alimentos Secos</v>
      </c>
      <c r="D28" s="45" t="n">
        <f aca="false">Base_Datos!G29</f>
        <v>12</v>
      </c>
      <c r="E28" s="46" t="n">
        <f aca="false">Base_Datos!P29</f>
        <v>6.5</v>
      </c>
      <c r="F28" s="47" t="n">
        <f aca="false">IFERROR(Base_Datos!G29/(Base_Datos!P29/30),9999)</f>
        <v>55.3846153846154</v>
      </c>
      <c r="G28" s="48" t="n">
        <f aca="false">IFERROR(Base_Datos!O29/Base_Datos!G29,0)</f>
        <v>3.25</v>
      </c>
      <c r="H28" s="49" t="n">
        <f aca="false">Base_Datos!S29</f>
        <v>19.2</v>
      </c>
      <c r="I28" s="45" t="n">
        <f aca="false">Base_Datos!H29</f>
        <v>5</v>
      </c>
      <c r="J28" s="45" t="n">
        <f aca="false">Base_Datos!R29</f>
        <v>53</v>
      </c>
      <c r="K28" s="50" t="str">
        <f aca="false">IF(IFERROR(Base_Datos!G29/(Base_Datos!P29/30),9999)&lt;7,"🔴 QUIEBRE",IF(IFERROR(Base_Datos!G29/(Base_Datos!P29/30),9999)&lt;14,"🟡 CRÍTICO",IF(IFERROR(Base_Datos!G29/(Base_Datos!P29/30),9999)&lt;=90,"🟢 NORMAL",IF(IFERROR(Base_Datos!G29/(Base_Datos!P29/30),9999)&lt;=180,"🟡 SOBRESTOCK","🔴 STOCK MUERTO"))))</f>
        <v>🟢 NORMAL</v>
      </c>
      <c r="L28" s="11" t="str">
        <f aca="false">IF(F28&lt;7,"⚠ SÍ","—")</f>
        <v>—</v>
      </c>
      <c r="M28" s="50" t="str">
        <f aca="false">IF(E28&gt;=PERCENTILE($E$5:$E$79,0.8),"A",IF(E28&gt;=PERCENTILE($E$5:$E$79,0.5),"B","C"))</f>
        <v>C</v>
      </c>
      <c r="N28" s="51" t="n">
        <f aca="false">IFERROR(Base_Datos!O29/Base_Datos!O83,0)</f>
        <v>0.000790706161425704</v>
      </c>
      <c r="O28" s="52" t="str">
        <f aca="false">IF(F28&lt;7,"REPOSICIÓN URGENTE",IF(F28&lt;14,"Revisar orden de compra",IF(AND(F28&gt;180,J28&gt;60),"LIQUIDAR / DEVOLVER",IF(F28&gt;90,"Reducir próxima compra","Stock en niveles óptimos"))))</f>
        <v>Stock en niveles óptimos</v>
      </c>
      <c r="P28" s="11" t="n">
        <f aca="false">IF(F28&lt;7,1,IF(AND(F28&gt;180,J28&gt;60),2,IF(F28&lt;14,3,IF(F28&gt;90,4,5))))</f>
        <v>5</v>
      </c>
    </row>
    <row r="29" customFormat="false" ht="18" hidden="false" customHeight="true" outlineLevel="0" collapsed="false">
      <c r="A29" s="33" t="str">
        <f aca="false">Base_Datos!A30</f>
        <v>SKU-025</v>
      </c>
      <c r="B29" s="34" t="str">
        <f aca="false">Base_Datos!B30</f>
        <v>Porotos Negros 500g</v>
      </c>
      <c r="C29" s="35" t="str">
        <f aca="false">Base_Datos!C30</f>
        <v>Alimentos Secos</v>
      </c>
      <c r="D29" s="35" t="n">
        <f aca="false">Base_Datos!G30</f>
        <v>304</v>
      </c>
      <c r="E29" s="36" t="n">
        <f aca="false">Base_Datos!P30</f>
        <v>160.333333333333</v>
      </c>
      <c r="F29" s="37" t="n">
        <f aca="false">IFERROR(Base_Datos!G30/(Base_Datos!P30/30),9999)</f>
        <v>56.8814968814969</v>
      </c>
      <c r="G29" s="38" t="n">
        <f aca="false">IFERROR(Base_Datos!O30/Base_Datos!G30,0)</f>
        <v>3.16447368421053</v>
      </c>
      <c r="H29" s="39" t="n">
        <f aca="false">Base_Datos!S30</f>
        <v>516.8</v>
      </c>
      <c r="I29" s="35" t="n">
        <f aca="false">Base_Datos!H30</f>
        <v>35</v>
      </c>
      <c r="J29" s="35" t="n">
        <f aca="false">Base_Datos!R30</f>
        <v>30</v>
      </c>
      <c r="K29" s="40" t="str">
        <f aca="false">IF(IFERROR(Base_Datos!G30/(Base_Datos!P30/30),9999)&lt;7,"🔴 QUIEBRE",IF(IFERROR(Base_Datos!G30/(Base_Datos!P30/30),9999)&lt;14,"🟡 CRÍTICO",IF(IFERROR(Base_Datos!G30/(Base_Datos!P30/30),9999)&lt;=90,"🟢 NORMAL",IF(IFERROR(Base_Datos!G30/(Base_Datos!P30/30),9999)&lt;=180,"🟡 SOBRESTOCK","🔴 STOCK MUERTO"))))</f>
        <v>🟢 NORMAL</v>
      </c>
      <c r="L29" s="20" t="str">
        <f aca="false">IF(F29&lt;7,"⚠ SÍ","—")</f>
        <v>—</v>
      </c>
      <c r="M29" s="40" t="str">
        <f aca="false">IF(E29&gt;=PERCENTILE($E$5:$E$79,0.8),"A",IF(E29&gt;=PERCENTILE($E$5:$E$79,0.5),"B","C"))</f>
        <v>B</v>
      </c>
      <c r="N29" s="41" t="n">
        <f aca="false">IFERROR(Base_Datos!O30/Base_Datos!O83,0)</f>
        <v>0.0195040853151674</v>
      </c>
      <c r="O29" s="42" t="str">
        <f aca="false">IF(F29&lt;7,"REPOSICIÓN URGENTE",IF(F29&lt;14,"Revisar orden de compra",IF(AND(F29&gt;180,J29&gt;60),"LIQUIDAR / DEVOLVER",IF(F29&gt;90,"Reducir próxima compra","Stock en niveles óptimos"))))</f>
        <v>Stock en niveles óptimos</v>
      </c>
      <c r="P29" s="20" t="n">
        <f aca="false">IF(F29&lt;7,1,IF(AND(F29&gt;180,J29&gt;60),2,IF(F29&lt;14,3,IF(F29&gt;90,4,5))))</f>
        <v>5</v>
      </c>
    </row>
    <row r="30" customFormat="false" ht="18" hidden="false" customHeight="true" outlineLevel="0" collapsed="false">
      <c r="A30" s="43" t="str">
        <f aca="false">Base_Datos!A32</f>
        <v>SKU-026</v>
      </c>
      <c r="B30" s="44" t="str">
        <f aca="false">Base_Datos!B32</f>
        <v>Lavandina Concentrada 1L</v>
      </c>
      <c r="C30" s="45" t="str">
        <f aca="false">Base_Datos!C32</f>
        <v>Limpieza del Hogar</v>
      </c>
      <c r="D30" s="45" t="n">
        <f aca="false">Base_Datos!G32</f>
        <v>267</v>
      </c>
      <c r="E30" s="46" t="n">
        <f aca="false">Base_Datos!P32</f>
        <v>55.3333333333333</v>
      </c>
      <c r="F30" s="47" t="n">
        <f aca="false">IFERROR(Base_Datos!G32/(Base_Datos!P32/30),9999)</f>
        <v>144.759036144578</v>
      </c>
      <c r="G30" s="48" t="n">
        <f aca="false">IFERROR(Base_Datos!O32/Base_Datos!G32,0)</f>
        <v>1.2434456928839</v>
      </c>
      <c r="H30" s="49" t="n">
        <f aca="false">Base_Datos!S32</f>
        <v>320.4</v>
      </c>
      <c r="I30" s="45" t="n">
        <f aca="false">Base_Datos!H32</f>
        <v>11</v>
      </c>
      <c r="J30" s="45" t="n">
        <f aca="false">Base_Datos!R32</f>
        <v>3</v>
      </c>
      <c r="K30" s="50" t="str">
        <f aca="false">IF(IFERROR(Base_Datos!G32/(Base_Datos!P32/30),9999)&lt;7,"🔴 QUIEBRE",IF(IFERROR(Base_Datos!G32/(Base_Datos!P32/30),9999)&lt;14,"🟡 CRÍTICO",IF(IFERROR(Base_Datos!G32/(Base_Datos!P32/30),9999)&lt;=90,"🟢 NORMAL",IF(IFERROR(Base_Datos!G32/(Base_Datos!P32/30),9999)&lt;=180,"🟡 SOBRESTOCK","🔴 STOCK MUERTO"))))</f>
        <v>🟡 SOBRESTOCK</v>
      </c>
      <c r="L30" s="11" t="str">
        <f aca="false">IF(F30&lt;7,"⚠ SÍ","—")</f>
        <v>—</v>
      </c>
      <c r="M30" s="50" t="str">
        <f aca="false">IF(E30&gt;=PERCENTILE($E$5:$E$79,0.8),"A",IF(E30&gt;=PERCENTILE($E$5:$E$79,0.5),"B","C"))</f>
        <v>C</v>
      </c>
      <c r="N30" s="51" t="n">
        <f aca="false">IFERROR(Base_Datos!O32/Base_Datos!O83,0)</f>
        <v>0.0067311396305983</v>
      </c>
      <c r="O30" s="52" t="str">
        <f aca="false">IF(F30&lt;7,"REPOSICIÓN URGENTE",IF(F30&lt;14,"Revisar orden de compra",IF(AND(F30&gt;180,J30&gt;60),"LIQUIDAR / DEVOLVER",IF(F30&gt;90,"Reducir próxima compra","Stock en niveles óptimos"))))</f>
        <v>Reducir próxima compra</v>
      </c>
      <c r="P30" s="11" t="n">
        <f aca="false">IF(F30&lt;7,1,IF(AND(F30&gt;180,J30&gt;60),2,IF(F30&lt;14,3,IF(F30&gt;90,4,5))))</f>
        <v>4</v>
      </c>
    </row>
    <row r="31" customFormat="false" ht="18" hidden="false" customHeight="true" outlineLevel="0" collapsed="false">
      <c r="A31" s="33" t="str">
        <f aca="false">Base_Datos!A33</f>
        <v>SKU-027</v>
      </c>
      <c r="B31" s="34" t="str">
        <f aca="false">Base_Datos!B33</f>
        <v>Lavandina Clásica 2L</v>
      </c>
      <c r="C31" s="35" t="str">
        <f aca="false">Base_Datos!C33</f>
        <v>Limpieza del Hogar</v>
      </c>
      <c r="D31" s="35" t="n">
        <f aca="false">Base_Datos!G33</f>
        <v>210</v>
      </c>
      <c r="E31" s="36" t="n">
        <f aca="false">Base_Datos!P33</f>
        <v>110.166666666667</v>
      </c>
      <c r="F31" s="37" t="n">
        <f aca="false">IFERROR(Base_Datos!G33/(Base_Datos!P33/30),9999)</f>
        <v>57.1860816944024</v>
      </c>
      <c r="G31" s="38" t="n">
        <f aca="false">IFERROR(Base_Datos!O33/Base_Datos!G33,0)</f>
        <v>3.14761904761905</v>
      </c>
      <c r="H31" s="39" t="n">
        <f aca="false">Base_Datos!S33</f>
        <v>378</v>
      </c>
      <c r="I31" s="35" t="n">
        <f aca="false">Base_Datos!H33</f>
        <v>16</v>
      </c>
      <c r="J31" s="35" t="n">
        <f aca="false">Base_Datos!R33</f>
        <v>27</v>
      </c>
      <c r="K31" s="40" t="str">
        <f aca="false">IF(IFERROR(Base_Datos!G33/(Base_Datos!P33/30),9999)&lt;7,"🔴 QUIEBRE",IF(IFERROR(Base_Datos!G33/(Base_Datos!P33/30),9999)&lt;14,"🟡 CRÍTICO",IF(IFERROR(Base_Datos!G33/(Base_Datos!P33/30),9999)&lt;=90,"🟢 NORMAL",IF(IFERROR(Base_Datos!G33/(Base_Datos!P33/30),9999)&lt;=180,"🟡 SOBRESTOCK","🔴 STOCK MUERTO"))))</f>
        <v>🟢 NORMAL</v>
      </c>
      <c r="L31" s="20" t="str">
        <f aca="false">IF(F31&lt;7,"⚠ SÍ","—")</f>
        <v>—</v>
      </c>
      <c r="M31" s="40" t="str">
        <f aca="false">IF(E31&gt;=PERCENTILE($E$5:$E$79,0.8),"A",IF(E31&gt;=PERCENTILE($E$5:$E$79,0.5),"B","C"))</f>
        <v>B</v>
      </c>
      <c r="N31" s="41" t="n">
        <f aca="false">IFERROR(Base_Datos!O33/Base_Datos!O83,0)</f>
        <v>0.0134014557103177</v>
      </c>
      <c r="O31" s="42" t="str">
        <f aca="false">IF(F31&lt;7,"REPOSICIÓN URGENTE",IF(F31&lt;14,"Revisar orden de compra",IF(AND(F31&gt;180,J31&gt;60),"LIQUIDAR / DEVOLVER",IF(F31&gt;90,"Reducir próxima compra","Stock en niveles óptimos"))))</f>
        <v>Stock en niveles óptimos</v>
      </c>
      <c r="P31" s="20" t="n">
        <f aca="false">IF(F31&lt;7,1,IF(AND(F31&gt;180,J31&gt;60),2,IF(F31&lt;14,3,IF(F31&gt;90,4,5))))</f>
        <v>5</v>
      </c>
    </row>
    <row r="32" customFormat="false" ht="18" hidden="false" customHeight="true" outlineLevel="0" collapsed="false">
      <c r="A32" s="43" t="str">
        <f aca="false">Base_Datos!A34</f>
        <v>SKU-028</v>
      </c>
      <c r="B32" s="44" t="str">
        <f aca="false">Base_Datos!B34</f>
        <v>Detergente Lavavajillas 500ml</v>
      </c>
      <c r="C32" s="45" t="str">
        <f aca="false">Base_Datos!C34</f>
        <v>Limpieza del Hogar</v>
      </c>
      <c r="D32" s="45" t="n">
        <f aca="false">Base_Datos!G34</f>
        <v>135</v>
      </c>
      <c r="E32" s="46" t="n">
        <f aca="false">Base_Datos!P34</f>
        <v>127</v>
      </c>
      <c r="F32" s="47" t="n">
        <f aca="false">IFERROR(Base_Datos!G34/(Base_Datos!P34/30),9999)</f>
        <v>31.8897637795276</v>
      </c>
      <c r="G32" s="48" t="n">
        <f aca="false">IFERROR(Base_Datos!O34/Base_Datos!G34,0)</f>
        <v>5.64444444444445</v>
      </c>
      <c r="H32" s="49" t="n">
        <f aca="false">Base_Datos!S34</f>
        <v>324</v>
      </c>
      <c r="I32" s="45" t="n">
        <f aca="false">Base_Datos!H34</f>
        <v>24</v>
      </c>
      <c r="J32" s="45" t="n">
        <f aca="false">Base_Datos!R34</f>
        <v>7</v>
      </c>
      <c r="K32" s="50" t="str">
        <f aca="false">IF(IFERROR(Base_Datos!G34/(Base_Datos!P34/30),9999)&lt;7,"🔴 QUIEBRE",IF(IFERROR(Base_Datos!G34/(Base_Datos!P34/30),9999)&lt;14,"🟡 CRÍTICO",IF(IFERROR(Base_Datos!G34/(Base_Datos!P34/30),9999)&lt;=90,"🟢 NORMAL",IF(IFERROR(Base_Datos!G34/(Base_Datos!P34/30),9999)&lt;=180,"🟡 SOBRESTOCK","🔴 STOCK MUERTO"))))</f>
        <v>🟢 NORMAL</v>
      </c>
      <c r="L32" s="11" t="str">
        <f aca="false">IF(F32&lt;7,"⚠ SÍ","—")</f>
        <v>—</v>
      </c>
      <c r="M32" s="50" t="str">
        <f aca="false">IF(E32&gt;=PERCENTILE($E$5:$E$79,0.8),"A",IF(E32&gt;=PERCENTILE($E$5:$E$79,0.5),"B","C"))</f>
        <v>B</v>
      </c>
      <c r="N32" s="51" t="n">
        <f aca="false">IFERROR(Base_Datos!O34/Base_Datos!O83,0)</f>
        <v>0.0154491819232407</v>
      </c>
      <c r="O32" s="52" t="str">
        <f aca="false">IF(F32&lt;7,"REPOSICIÓN URGENTE",IF(F32&lt;14,"Revisar orden de compra",IF(AND(F32&gt;180,J32&gt;60),"LIQUIDAR / DEVOLVER",IF(F32&gt;90,"Reducir próxima compra","Stock en niveles óptimos"))))</f>
        <v>Stock en niveles óptimos</v>
      </c>
      <c r="P32" s="11" t="n">
        <f aca="false">IF(F32&lt;7,1,IF(AND(F32&gt;180,J32&gt;60),2,IF(F32&lt;14,3,IF(F32&gt;90,4,5))))</f>
        <v>5</v>
      </c>
    </row>
    <row r="33" customFormat="false" ht="18" hidden="false" customHeight="true" outlineLevel="0" collapsed="false">
      <c r="A33" s="33" t="str">
        <f aca="false">Base_Datos!A35</f>
        <v>SKU-029</v>
      </c>
      <c r="B33" s="34" t="str">
        <f aca="false">Base_Datos!B35</f>
        <v>Detergente Lavavajillas 1L</v>
      </c>
      <c r="C33" s="35" t="str">
        <f aca="false">Base_Datos!C35</f>
        <v>Limpieza del Hogar</v>
      </c>
      <c r="D33" s="35" t="n">
        <f aca="false">Base_Datos!G35</f>
        <v>14</v>
      </c>
      <c r="E33" s="36" t="n">
        <f aca="false">Base_Datos!P35</f>
        <v>15.3333333333333</v>
      </c>
      <c r="F33" s="37" t="n">
        <f aca="false">IFERROR(Base_Datos!G35/(Base_Datos!P35/30),9999)</f>
        <v>27.3913043478261</v>
      </c>
      <c r="G33" s="38" t="n">
        <f aca="false">IFERROR(Base_Datos!O35/Base_Datos!G35,0)</f>
        <v>6.57142857142857</v>
      </c>
      <c r="H33" s="39" t="n">
        <f aca="false">Base_Datos!S35</f>
        <v>58.8</v>
      </c>
      <c r="I33" s="35" t="n">
        <f aca="false">Base_Datos!H35</f>
        <v>5</v>
      </c>
      <c r="J33" s="35" t="n">
        <f aca="false">Base_Datos!R35</f>
        <v>43</v>
      </c>
      <c r="K33" s="40" t="str">
        <f aca="false">IF(IFERROR(Base_Datos!G35/(Base_Datos!P35/30),9999)&lt;7,"🔴 QUIEBRE",IF(IFERROR(Base_Datos!G35/(Base_Datos!P35/30),9999)&lt;14,"🟡 CRÍTICO",IF(IFERROR(Base_Datos!G35/(Base_Datos!P35/30),9999)&lt;=90,"🟢 NORMAL",IF(IFERROR(Base_Datos!G35/(Base_Datos!P35/30),9999)&lt;=180,"🟡 SOBRESTOCK","🔴 STOCK MUERTO"))))</f>
        <v>🟢 NORMAL</v>
      </c>
      <c r="L33" s="20" t="str">
        <f aca="false">IF(F33&lt;7,"⚠ SÍ","—")</f>
        <v>—</v>
      </c>
      <c r="M33" s="40" t="str">
        <f aca="false">IF(E33&gt;=PERCENTILE($E$5:$E$79,0.8),"A",IF(E33&gt;=PERCENTILE($E$5:$E$79,0.5),"B","C"))</f>
        <v>C</v>
      </c>
      <c r="N33" s="41" t="n">
        <f aca="false">IFERROR(Base_Datos!O35/Base_Datos!O83,0)</f>
        <v>0.00186525556028628</v>
      </c>
      <c r="O33" s="42" t="str">
        <f aca="false">IF(F33&lt;7,"REPOSICIÓN URGENTE",IF(F33&lt;14,"Revisar orden de compra",IF(AND(F33&gt;180,J33&gt;60),"LIQUIDAR / DEVOLVER",IF(F33&gt;90,"Reducir próxima compra","Stock en niveles óptimos"))))</f>
        <v>Stock en niveles óptimos</v>
      </c>
      <c r="P33" s="20" t="n">
        <f aca="false">IF(F33&lt;7,1,IF(AND(F33&gt;180,J33&gt;60),2,IF(F33&lt;14,3,IF(F33&gt;90,4,5))))</f>
        <v>5</v>
      </c>
    </row>
    <row r="34" customFormat="false" ht="18" hidden="false" customHeight="true" outlineLevel="0" collapsed="false">
      <c r="A34" s="43" t="str">
        <f aca="false">Base_Datos!A36</f>
        <v>SKU-030</v>
      </c>
      <c r="B34" s="44" t="str">
        <f aca="false">Base_Datos!B36</f>
        <v>Jabón en Polvo 1kg</v>
      </c>
      <c r="C34" s="45" t="str">
        <f aca="false">Base_Datos!C36</f>
        <v>Limpieza del Hogar</v>
      </c>
      <c r="D34" s="45" t="n">
        <f aca="false">Base_Datos!G36</f>
        <v>78</v>
      </c>
      <c r="E34" s="46" t="n">
        <f aca="false">Base_Datos!P36</f>
        <v>51.6666666666667</v>
      </c>
      <c r="F34" s="47" t="n">
        <f aca="false">IFERROR(Base_Datos!G36/(Base_Datos!P36/30),9999)</f>
        <v>45.2903225806452</v>
      </c>
      <c r="G34" s="48" t="n">
        <f aca="false">IFERROR(Base_Datos!O36/Base_Datos!G36,0)</f>
        <v>3.97435897435897</v>
      </c>
      <c r="H34" s="49" t="n">
        <f aca="false">Base_Datos!S36</f>
        <v>374.4</v>
      </c>
      <c r="I34" s="45" t="n">
        <f aca="false">Base_Datos!H36</f>
        <v>7</v>
      </c>
      <c r="J34" s="45" t="n">
        <f aca="false">Base_Datos!R36</f>
        <v>3</v>
      </c>
      <c r="K34" s="50" t="str">
        <f aca="false">IF(IFERROR(Base_Datos!G36/(Base_Datos!P36/30),9999)&lt;7,"🔴 QUIEBRE",IF(IFERROR(Base_Datos!G36/(Base_Datos!P36/30),9999)&lt;14,"🟡 CRÍTICO",IF(IFERROR(Base_Datos!G36/(Base_Datos!P36/30),9999)&lt;=90,"🟢 NORMAL",IF(IFERROR(Base_Datos!G36/(Base_Datos!P36/30),9999)&lt;=180,"🟡 SOBRESTOCK","🔴 STOCK MUERTO"))))</f>
        <v>🟢 NORMAL</v>
      </c>
      <c r="L34" s="11" t="str">
        <f aca="false">IF(F34&lt;7,"⚠ SÍ","—")</f>
        <v>—</v>
      </c>
      <c r="M34" s="50" t="str">
        <f aca="false">IF(E34&gt;=PERCENTILE($E$5:$E$79,0.8),"A",IF(E34&gt;=PERCENTILE($E$5:$E$79,0.5),"B","C"))</f>
        <v>C</v>
      </c>
      <c r="N34" s="51" t="n">
        <f aca="false">IFERROR(Base_Datos!O36/Base_Datos!O83,0)</f>
        <v>0.00628510025748637</v>
      </c>
      <c r="O34" s="52" t="str">
        <f aca="false">IF(F34&lt;7,"REPOSICIÓN URGENTE",IF(F34&lt;14,"Revisar orden de compra",IF(AND(F34&gt;180,J34&gt;60),"LIQUIDAR / DEVOLVER",IF(F34&gt;90,"Reducir próxima compra","Stock en niveles óptimos"))))</f>
        <v>Stock en niveles óptimos</v>
      </c>
      <c r="P34" s="11" t="n">
        <f aca="false">IF(F34&lt;7,1,IF(AND(F34&gt;180,J34&gt;60),2,IF(F34&lt;14,3,IF(F34&gt;90,4,5))))</f>
        <v>5</v>
      </c>
    </row>
    <row r="35" customFormat="false" ht="18" hidden="false" customHeight="true" outlineLevel="0" collapsed="false">
      <c r="A35" s="33" t="str">
        <f aca="false">Base_Datos!A37</f>
        <v>SKU-031</v>
      </c>
      <c r="B35" s="34" t="str">
        <f aca="false">Base_Datos!B37</f>
        <v>Jabón en Polvo 3kg</v>
      </c>
      <c r="C35" s="35" t="str">
        <f aca="false">Base_Datos!C37</f>
        <v>Limpieza del Hogar</v>
      </c>
      <c r="D35" s="35" t="n">
        <f aca="false">Base_Datos!G37</f>
        <v>512</v>
      </c>
      <c r="E35" s="36" t="n">
        <f aca="false">Base_Datos!P37</f>
        <v>76</v>
      </c>
      <c r="F35" s="37" t="n">
        <f aca="false">IFERROR(Base_Datos!G37/(Base_Datos!P37/30),9999)</f>
        <v>202.105263157895</v>
      </c>
      <c r="G35" s="38" t="n">
        <f aca="false">IFERROR(Base_Datos!O37/Base_Datos!G37,0)</f>
        <v>0.890625</v>
      </c>
      <c r="H35" s="39" t="n">
        <f aca="false">Base_Datos!S37</f>
        <v>6912</v>
      </c>
      <c r="I35" s="35" t="n">
        <f aca="false">Base_Datos!H37</f>
        <v>20</v>
      </c>
      <c r="J35" s="35" t="n">
        <f aca="false">Base_Datos!R37</f>
        <v>28</v>
      </c>
      <c r="K35" s="40" t="str">
        <f aca="false">IF(IFERROR(Base_Datos!G37/(Base_Datos!P37/30),9999)&lt;7,"🔴 QUIEBRE",IF(IFERROR(Base_Datos!G37/(Base_Datos!P37/30),9999)&lt;14,"🟡 CRÍTICO",IF(IFERROR(Base_Datos!G37/(Base_Datos!P37/30),9999)&lt;=90,"🟢 NORMAL",IF(IFERROR(Base_Datos!G37/(Base_Datos!P37/30),9999)&lt;=180,"🟡 SOBRESTOCK","🔴 STOCK MUERTO"))))</f>
        <v>🔴 STOCK MUERTO</v>
      </c>
      <c r="L35" s="20" t="str">
        <f aca="false">IF(F35&lt;7,"⚠ SÍ","—")</f>
        <v>—</v>
      </c>
      <c r="M35" s="40" t="str">
        <f aca="false">IF(E35&gt;=PERCENTILE($E$5:$E$79,0.8),"A",IF(E35&gt;=PERCENTILE($E$5:$E$79,0.5),"B","C"))</f>
        <v>C</v>
      </c>
      <c r="N35" s="41" t="n">
        <f aca="false">IFERROR(Base_Datos!O37/Base_Datos!O83,0)</f>
        <v>0.00924517973359285</v>
      </c>
      <c r="O35" s="42" t="str">
        <f aca="false">IF(F35&lt;7,"REPOSICIÓN URGENTE",IF(F35&lt;14,"Revisar orden de compra",IF(AND(F35&gt;180,J35&gt;60),"LIQUIDAR / DEVOLVER",IF(F35&gt;90,"Reducir próxima compra","Stock en niveles óptimos"))))</f>
        <v>Reducir próxima compra</v>
      </c>
      <c r="P35" s="20" t="n">
        <f aca="false">IF(F35&lt;7,1,IF(AND(F35&gt;180,J35&gt;60),2,IF(F35&lt;14,3,IF(F35&gt;90,4,5))))</f>
        <v>4</v>
      </c>
    </row>
    <row r="36" customFormat="false" ht="18" hidden="false" customHeight="true" outlineLevel="0" collapsed="false">
      <c r="A36" s="43" t="str">
        <f aca="false">Base_Datos!A38</f>
        <v>SKU-032</v>
      </c>
      <c r="B36" s="44" t="str">
        <f aca="false">Base_Datos!B38</f>
        <v>Suavizante Ropa 800ml</v>
      </c>
      <c r="C36" s="45" t="str">
        <f aca="false">Base_Datos!C38</f>
        <v>Limpieza del Hogar</v>
      </c>
      <c r="D36" s="45" t="n">
        <f aca="false">Base_Datos!G38</f>
        <v>76</v>
      </c>
      <c r="E36" s="46" t="n">
        <f aca="false">Base_Datos!P38</f>
        <v>51.3333333333333</v>
      </c>
      <c r="F36" s="47" t="n">
        <f aca="false">IFERROR(Base_Datos!G38/(Base_Datos!P38/30),9999)</f>
        <v>44.4155844155844</v>
      </c>
      <c r="G36" s="48" t="n">
        <f aca="false">IFERROR(Base_Datos!O38/Base_Datos!G38,0)</f>
        <v>4.05263157894737</v>
      </c>
      <c r="H36" s="49" t="n">
        <f aca="false">Base_Datos!S38</f>
        <v>273.6</v>
      </c>
      <c r="I36" s="45" t="n">
        <f aca="false">Base_Datos!H38</f>
        <v>12</v>
      </c>
      <c r="J36" s="45" t="n">
        <f aca="false">Base_Datos!R38</f>
        <v>5</v>
      </c>
      <c r="K36" s="50" t="str">
        <f aca="false">IF(IFERROR(Base_Datos!G38/(Base_Datos!P38/30),9999)&lt;7,"🔴 QUIEBRE",IF(IFERROR(Base_Datos!G38/(Base_Datos!P38/30),9999)&lt;14,"🟡 CRÍTICO",IF(IFERROR(Base_Datos!G38/(Base_Datos!P38/30),9999)&lt;=90,"🟢 NORMAL",IF(IFERROR(Base_Datos!G38/(Base_Datos!P38/30),9999)&lt;=180,"🟡 SOBRESTOCK","🔴 STOCK MUERTO"))))</f>
        <v>🟢 NORMAL</v>
      </c>
      <c r="L36" s="11" t="str">
        <f aca="false">IF(F36&lt;7,"⚠ SÍ","—")</f>
        <v>—</v>
      </c>
      <c r="M36" s="50" t="str">
        <f aca="false">IF(E36&gt;=PERCENTILE($E$5:$E$79,0.8),"A",IF(E36&gt;=PERCENTILE($E$5:$E$79,0.5),"B","C"))</f>
        <v>C</v>
      </c>
      <c r="N36" s="51" t="n">
        <f aca="false">IFERROR(Base_Datos!O38/Base_Datos!O83,0)</f>
        <v>0.0062445512235671</v>
      </c>
      <c r="O36" s="52" t="str">
        <f aca="false">IF(F36&lt;7,"REPOSICIÓN URGENTE",IF(F36&lt;14,"Revisar orden de compra",IF(AND(F36&gt;180,J36&gt;60),"LIQUIDAR / DEVOLVER",IF(F36&gt;90,"Reducir próxima compra","Stock en niveles óptimos"))))</f>
        <v>Stock en niveles óptimos</v>
      </c>
      <c r="P36" s="11" t="n">
        <f aca="false">IF(F36&lt;7,1,IF(AND(F36&gt;180,J36&gt;60),2,IF(F36&lt;14,3,IF(F36&gt;90,4,5))))</f>
        <v>5</v>
      </c>
    </row>
    <row r="37" customFormat="false" ht="18" hidden="false" customHeight="true" outlineLevel="0" collapsed="false">
      <c r="A37" s="33" t="str">
        <f aca="false">Base_Datos!A39</f>
        <v>SKU-033</v>
      </c>
      <c r="B37" s="34" t="str">
        <f aca="false">Base_Datos!B39</f>
        <v>Suavizante Ropa 1.5L</v>
      </c>
      <c r="C37" s="35" t="str">
        <f aca="false">Base_Datos!C39</f>
        <v>Limpieza del Hogar</v>
      </c>
      <c r="D37" s="35" t="n">
        <f aca="false">Base_Datos!G39</f>
        <v>185</v>
      </c>
      <c r="E37" s="36" t="n">
        <f aca="false">Base_Datos!P39</f>
        <v>1.16666666666667</v>
      </c>
      <c r="F37" s="37" t="n">
        <f aca="false">IFERROR(Base_Datos!G39/(Base_Datos!P39/30),9999)</f>
        <v>4757.14285714286</v>
      </c>
      <c r="G37" s="38" t="n">
        <f aca="false">IFERROR(Base_Datos!O39/Base_Datos!G39,0)</f>
        <v>0.0378378378378378</v>
      </c>
      <c r="H37" s="39" t="n">
        <f aca="false">Base_Datos!S39</f>
        <v>1147</v>
      </c>
      <c r="I37" s="35" t="n">
        <f aca="false">Base_Datos!H39</f>
        <v>5</v>
      </c>
      <c r="J37" s="35" t="n">
        <f aca="false">Base_Datos!R39</f>
        <v>76</v>
      </c>
      <c r="K37" s="40" t="str">
        <f aca="false">IF(IFERROR(Base_Datos!G39/(Base_Datos!P39/30),9999)&lt;7,"🔴 QUIEBRE",IF(IFERROR(Base_Datos!G39/(Base_Datos!P39/30),9999)&lt;14,"🟡 CRÍTICO",IF(IFERROR(Base_Datos!G39/(Base_Datos!P39/30),9999)&lt;=90,"🟢 NORMAL",IF(IFERROR(Base_Datos!G39/(Base_Datos!P39/30),9999)&lt;=180,"🟡 SOBRESTOCK","🔴 STOCK MUERTO"))))</f>
        <v>🔴 STOCK MUERTO</v>
      </c>
      <c r="L37" s="20" t="str">
        <f aca="false">IF(F37&lt;7,"⚠ SÍ","—")</f>
        <v>—</v>
      </c>
      <c r="M37" s="40" t="str">
        <f aca="false">IF(E37&gt;=PERCENTILE($E$5:$E$79,0.8),"A",IF(E37&gt;=PERCENTILE($E$5:$E$79,0.5),"B","C"))</f>
        <v>C</v>
      </c>
      <c r="N37" s="41" t="n">
        <f aca="false">IFERROR(Base_Datos!O39/Base_Datos!O83,0)</f>
        <v>0.000141921618717434</v>
      </c>
      <c r="O37" s="42" t="str">
        <f aca="false">IF(F37&lt;7,"REPOSICIÓN URGENTE",IF(F37&lt;14,"Revisar orden de compra",IF(AND(F37&gt;180,J37&gt;60),"LIQUIDAR / DEVOLVER",IF(F37&gt;90,"Reducir próxima compra","Stock en niveles óptimos"))))</f>
        <v>LIQUIDAR / DEVOLVER</v>
      </c>
      <c r="P37" s="20" t="n">
        <f aca="false">IF(F37&lt;7,1,IF(AND(F37&gt;180,J37&gt;60),2,IF(F37&lt;14,3,IF(F37&gt;90,4,5))))</f>
        <v>2</v>
      </c>
    </row>
    <row r="38" customFormat="false" ht="18" hidden="false" customHeight="true" outlineLevel="0" collapsed="false">
      <c r="A38" s="43" t="str">
        <f aca="false">Base_Datos!A40</f>
        <v>SKU-034</v>
      </c>
      <c r="B38" s="44" t="str">
        <f aca="false">Base_Datos!B40</f>
        <v>Limpiador Multiuso 500ml</v>
      </c>
      <c r="C38" s="45" t="str">
        <f aca="false">Base_Datos!C40</f>
        <v>Limpieza del Hogar</v>
      </c>
      <c r="D38" s="45" t="n">
        <f aca="false">Base_Datos!G40</f>
        <v>101</v>
      </c>
      <c r="E38" s="46" t="n">
        <f aca="false">Base_Datos!P40</f>
        <v>89.8333333333333</v>
      </c>
      <c r="F38" s="47" t="n">
        <f aca="false">IFERROR(Base_Datos!G40/(Base_Datos!P40/30),9999)</f>
        <v>33.7291280148423</v>
      </c>
      <c r="G38" s="48" t="n">
        <f aca="false">IFERROR(Base_Datos!O40/Base_Datos!G40,0)</f>
        <v>5.33663366336634</v>
      </c>
      <c r="H38" s="49" t="n">
        <f aca="false">Base_Datos!S40</f>
        <v>292.9</v>
      </c>
      <c r="I38" s="45" t="n">
        <f aca="false">Base_Datos!H40</f>
        <v>17</v>
      </c>
      <c r="J38" s="45" t="n">
        <f aca="false">Base_Datos!R40</f>
        <v>28</v>
      </c>
      <c r="K38" s="50" t="str">
        <f aca="false">IF(IFERROR(Base_Datos!G40/(Base_Datos!P40/30),9999)&lt;7,"🔴 QUIEBRE",IF(IFERROR(Base_Datos!G40/(Base_Datos!P40/30),9999)&lt;14,"🟡 CRÍTICO",IF(IFERROR(Base_Datos!G40/(Base_Datos!P40/30),9999)&lt;=90,"🟢 NORMAL",IF(IFERROR(Base_Datos!G40/(Base_Datos!P40/30),9999)&lt;=180,"🟡 SOBRESTOCK","🔴 STOCK MUERTO"))))</f>
        <v>🟢 NORMAL</v>
      </c>
      <c r="L38" s="11" t="str">
        <f aca="false">IF(F38&lt;7,"⚠ SÍ","—")</f>
        <v>—</v>
      </c>
      <c r="M38" s="50" t="str">
        <f aca="false">IF(E38&gt;=PERCENTILE($E$5:$E$79,0.8),"A",IF(E38&gt;=PERCENTILE($E$5:$E$79,0.5),"B","C"))</f>
        <v>C</v>
      </c>
      <c r="N38" s="51" t="n">
        <f aca="false">IFERROR(Base_Datos!O40/Base_Datos!O83,0)</f>
        <v>0.0109279646412424</v>
      </c>
      <c r="O38" s="52" t="str">
        <f aca="false">IF(F38&lt;7,"REPOSICIÓN URGENTE",IF(F38&lt;14,"Revisar orden de compra",IF(AND(F38&gt;180,J38&gt;60),"LIQUIDAR / DEVOLVER",IF(F38&gt;90,"Reducir próxima compra","Stock en niveles óptimos"))))</f>
        <v>Stock en niveles óptimos</v>
      </c>
      <c r="P38" s="11" t="n">
        <f aca="false">IF(F38&lt;7,1,IF(AND(F38&gt;180,J38&gt;60),2,IF(F38&lt;14,3,IF(F38&gt;90,4,5))))</f>
        <v>5</v>
      </c>
    </row>
    <row r="39" customFormat="false" ht="18" hidden="false" customHeight="true" outlineLevel="0" collapsed="false">
      <c r="A39" s="33" t="str">
        <f aca="false">Base_Datos!A41</f>
        <v>SKU-035</v>
      </c>
      <c r="B39" s="34" t="str">
        <f aca="false">Base_Datos!B41</f>
        <v>Limpiador Piso 1L</v>
      </c>
      <c r="C39" s="35" t="str">
        <f aca="false">Base_Datos!C41</f>
        <v>Limpieza del Hogar</v>
      </c>
      <c r="D39" s="35" t="n">
        <f aca="false">Base_Datos!G41</f>
        <v>43</v>
      </c>
      <c r="E39" s="36" t="n">
        <f aca="false">Base_Datos!P41</f>
        <v>183</v>
      </c>
      <c r="F39" s="37" t="n">
        <f aca="false">IFERROR(Base_Datos!G41/(Base_Datos!P41/30),9999)</f>
        <v>7.04918032786885</v>
      </c>
      <c r="G39" s="38" t="n">
        <f aca="false">IFERROR(Base_Datos!O41/Base_Datos!G41,0)</f>
        <v>25.5348837209302</v>
      </c>
      <c r="H39" s="39" t="n">
        <f aca="false">Base_Datos!S41</f>
        <v>133.3</v>
      </c>
      <c r="I39" s="35" t="n">
        <f aca="false">Base_Datos!H41</f>
        <v>30</v>
      </c>
      <c r="J39" s="35" t="n">
        <f aca="false">Base_Datos!R41</f>
        <v>9</v>
      </c>
      <c r="K39" s="40" t="str">
        <f aca="false">IF(IFERROR(Base_Datos!G41/(Base_Datos!P41/30),9999)&lt;7,"🔴 QUIEBRE",IF(IFERROR(Base_Datos!G41/(Base_Datos!P41/30),9999)&lt;14,"🟡 CRÍTICO",IF(IFERROR(Base_Datos!G41/(Base_Datos!P41/30),9999)&lt;=90,"🟢 NORMAL",IF(IFERROR(Base_Datos!G41/(Base_Datos!P41/30),9999)&lt;=180,"🟡 SOBRESTOCK","🔴 STOCK MUERTO"))))</f>
        <v>🟡 CRÍTICO</v>
      </c>
      <c r="L39" s="20" t="str">
        <f aca="false">IF(F39&lt;7,"⚠ SÍ","—")</f>
        <v>—</v>
      </c>
      <c r="M39" s="40" t="str">
        <f aca="false">IF(E39&gt;=PERCENTILE($E$5:$E$79,0.8),"A",IF(E39&gt;=PERCENTILE($E$5:$E$79,0.5),"B","C"))</f>
        <v>A</v>
      </c>
      <c r="N39" s="41" t="n">
        <f aca="false">IFERROR(Base_Datos!O41/Base_Datos!O83,0)</f>
        <v>0.0222614196216775</v>
      </c>
      <c r="O39" s="42" t="str">
        <f aca="false">IF(F39&lt;7,"REPOSICIÓN URGENTE",IF(F39&lt;14,"Revisar orden de compra",IF(AND(F39&gt;180,J39&gt;60),"LIQUIDAR / DEVOLVER",IF(F39&gt;90,"Reducir próxima compra","Stock en niveles óptimos"))))</f>
        <v>Revisar orden de compra</v>
      </c>
      <c r="P39" s="20" t="n">
        <f aca="false">IF(F39&lt;7,1,IF(AND(F39&gt;180,J39&gt;60),2,IF(F39&lt;14,3,IF(F39&gt;90,4,5))))</f>
        <v>3</v>
      </c>
    </row>
    <row r="40" customFormat="false" ht="18" hidden="false" customHeight="true" outlineLevel="0" collapsed="false">
      <c r="A40" s="43" t="str">
        <f aca="false">Base_Datos!A42</f>
        <v>SKU-036</v>
      </c>
      <c r="B40" s="44" t="str">
        <f aca="false">Base_Datos!B42</f>
        <v>Desengrasante 500ml</v>
      </c>
      <c r="C40" s="45" t="str">
        <f aca="false">Base_Datos!C42</f>
        <v>Limpieza del Hogar</v>
      </c>
      <c r="D40" s="45" t="n">
        <f aca="false">Base_Datos!G42</f>
        <v>137</v>
      </c>
      <c r="E40" s="46" t="n">
        <f aca="false">Base_Datos!P42</f>
        <v>89</v>
      </c>
      <c r="F40" s="47" t="n">
        <f aca="false">IFERROR(Base_Datos!G42/(Base_Datos!P42/30),9999)</f>
        <v>46.1797752808989</v>
      </c>
      <c r="G40" s="48" t="n">
        <f aca="false">IFERROR(Base_Datos!O42/Base_Datos!G42,0)</f>
        <v>3.8978102189781</v>
      </c>
      <c r="H40" s="49" t="n">
        <f aca="false">Base_Datos!S42</f>
        <v>479.5</v>
      </c>
      <c r="I40" s="45" t="n">
        <f aca="false">Base_Datos!H42</f>
        <v>26</v>
      </c>
      <c r="J40" s="45" t="n">
        <f aca="false">Base_Datos!R42</f>
        <v>4</v>
      </c>
      <c r="K40" s="50" t="str">
        <f aca="false">IF(IFERROR(Base_Datos!G42/(Base_Datos!P42/30),9999)&lt;7,"🔴 QUIEBRE",IF(IFERROR(Base_Datos!G42/(Base_Datos!P42/30),9999)&lt;14,"🟡 CRÍTICO",IF(IFERROR(Base_Datos!G42/(Base_Datos!P42/30),9999)&lt;=90,"🟢 NORMAL",IF(IFERROR(Base_Datos!G42/(Base_Datos!P42/30),9999)&lt;=180,"🟡 SOBRESTOCK","🔴 STOCK MUERTO"))))</f>
        <v>🟢 NORMAL</v>
      </c>
      <c r="L40" s="11" t="str">
        <f aca="false">IF(F40&lt;7,"⚠ SÍ","—")</f>
        <v>—</v>
      </c>
      <c r="M40" s="50" t="str">
        <f aca="false">IF(E40&gt;=PERCENTILE($E$5:$E$79,0.8),"A",IF(E40&gt;=PERCENTILE($E$5:$E$79,0.5),"B","C"))</f>
        <v>C</v>
      </c>
      <c r="N40" s="51" t="n">
        <f aca="false">IFERROR(Base_Datos!O42/Base_Datos!O83,0)</f>
        <v>0.0108265920564443</v>
      </c>
      <c r="O40" s="52" t="str">
        <f aca="false">IF(F40&lt;7,"REPOSICIÓN URGENTE",IF(F40&lt;14,"Revisar orden de compra",IF(AND(F40&gt;180,J40&gt;60),"LIQUIDAR / DEVOLVER",IF(F40&gt;90,"Reducir próxima compra","Stock en niveles óptimos"))))</f>
        <v>Stock en niveles óptimos</v>
      </c>
      <c r="P40" s="11" t="n">
        <f aca="false">IF(F40&lt;7,1,IF(AND(F40&gt;180,J40&gt;60),2,IF(F40&lt;14,3,IF(F40&gt;90,4,5))))</f>
        <v>5</v>
      </c>
    </row>
    <row r="41" customFormat="false" ht="18" hidden="false" customHeight="true" outlineLevel="0" collapsed="false">
      <c r="A41" s="33" t="str">
        <f aca="false">Base_Datos!A43</f>
        <v>SKU-037</v>
      </c>
      <c r="B41" s="34" t="str">
        <f aca="false">Base_Datos!B43</f>
        <v>Limpiavidrios 500ml</v>
      </c>
      <c r="C41" s="35" t="str">
        <f aca="false">Base_Datos!C43</f>
        <v>Limpieza del Hogar</v>
      </c>
      <c r="D41" s="35" t="n">
        <f aca="false">Base_Datos!G43</f>
        <v>274</v>
      </c>
      <c r="E41" s="36" t="n">
        <f aca="false">Base_Datos!P43</f>
        <v>139.333333333333</v>
      </c>
      <c r="F41" s="37" t="n">
        <f aca="false">IFERROR(Base_Datos!G43/(Base_Datos!P43/30),9999)</f>
        <v>58.9952153110048</v>
      </c>
      <c r="G41" s="38" t="n">
        <f aca="false">IFERROR(Base_Datos!O43/Base_Datos!G43,0)</f>
        <v>3.05109489051095</v>
      </c>
      <c r="H41" s="39" t="n">
        <f aca="false">Base_Datos!S43</f>
        <v>739.8</v>
      </c>
      <c r="I41" s="35" t="n">
        <f aca="false">Base_Datos!H43</f>
        <v>40</v>
      </c>
      <c r="J41" s="35" t="n">
        <f aca="false">Base_Datos!R43</f>
        <v>24</v>
      </c>
      <c r="K41" s="40" t="str">
        <f aca="false">IF(IFERROR(Base_Datos!G43/(Base_Datos!P43/30),9999)&lt;7,"🔴 QUIEBRE",IF(IFERROR(Base_Datos!G43/(Base_Datos!P43/30),9999)&lt;14,"🟡 CRÍTICO",IF(IFERROR(Base_Datos!G43/(Base_Datos!P43/30),9999)&lt;=90,"🟢 NORMAL",IF(IFERROR(Base_Datos!G43/(Base_Datos!P43/30),9999)&lt;=180,"🟡 SOBRESTOCK","🔴 STOCK MUERTO"))))</f>
        <v>🟢 NORMAL</v>
      </c>
      <c r="L41" s="20" t="str">
        <f aca="false">IF(F41&lt;7,"⚠ SÍ","—")</f>
        <v>—</v>
      </c>
      <c r="M41" s="40" t="str">
        <f aca="false">IF(E41&gt;=PERCENTILE($E$5:$E$79,0.8),"A",IF(E41&gt;=PERCENTILE($E$5:$E$79,0.5),"B","C"))</f>
        <v>B</v>
      </c>
      <c r="N41" s="41" t="n">
        <f aca="false">IFERROR(Base_Datos!O43/Base_Datos!O83,0)</f>
        <v>0.0169494961782536</v>
      </c>
      <c r="O41" s="42" t="str">
        <f aca="false">IF(F41&lt;7,"REPOSICIÓN URGENTE",IF(F41&lt;14,"Revisar orden de compra",IF(AND(F41&gt;180,J41&gt;60),"LIQUIDAR / DEVOLVER",IF(F41&gt;90,"Reducir próxima compra","Stock en niveles óptimos"))))</f>
        <v>Stock en niveles óptimos</v>
      </c>
      <c r="P41" s="20" t="n">
        <f aca="false">IF(F41&lt;7,1,IF(AND(F41&gt;180,J41&gt;60),2,IF(F41&lt;14,3,IF(F41&gt;90,4,5))))</f>
        <v>5</v>
      </c>
    </row>
    <row r="42" customFormat="false" ht="18" hidden="false" customHeight="true" outlineLevel="0" collapsed="false">
      <c r="A42" s="43" t="str">
        <f aca="false">Base_Datos!A44</f>
        <v>SKU-038</v>
      </c>
      <c r="B42" s="44" t="str">
        <f aca="false">Base_Datos!B44</f>
        <v>Esponjas Doble Faz x3</v>
      </c>
      <c r="C42" s="45" t="str">
        <f aca="false">Base_Datos!C44</f>
        <v>Limpieza del Hogar</v>
      </c>
      <c r="D42" s="45" t="n">
        <f aca="false">Base_Datos!G44</f>
        <v>556</v>
      </c>
      <c r="E42" s="46" t="n">
        <f aca="false">Base_Datos!P44</f>
        <v>88.3333333333333</v>
      </c>
      <c r="F42" s="47" t="n">
        <f aca="false">IFERROR(Base_Datos!G44/(Base_Datos!P44/30),9999)</f>
        <v>188.830188679245</v>
      </c>
      <c r="G42" s="48" t="n">
        <f aca="false">IFERROR(Base_Datos!O44/Base_Datos!G44,0)</f>
        <v>0.953237410071942</v>
      </c>
      <c r="H42" s="49" t="n">
        <f aca="false">Base_Datos!S44</f>
        <v>1223.2</v>
      </c>
      <c r="I42" s="45" t="n">
        <f aca="false">Base_Datos!H44</f>
        <v>17</v>
      </c>
      <c r="J42" s="45" t="n">
        <f aca="false">Base_Datos!R44</f>
        <v>10</v>
      </c>
      <c r="K42" s="50" t="str">
        <f aca="false">IF(IFERROR(Base_Datos!G44/(Base_Datos!P44/30),9999)&lt;7,"🔴 QUIEBRE",IF(IFERROR(Base_Datos!G44/(Base_Datos!P44/30),9999)&lt;14,"🟡 CRÍTICO",IF(IFERROR(Base_Datos!G44/(Base_Datos!P44/30),9999)&lt;=90,"🟢 NORMAL",IF(IFERROR(Base_Datos!G44/(Base_Datos!P44/30),9999)&lt;=180,"🟡 SOBRESTOCK","🔴 STOCK MUERTO"))))</f>
        <v>🔴 STOCK MUERTO</v>
      </c>
      <c r="L42" s="11" t="str">
        <f aca="false">IF(F42&lt;7,"⚠ SÍ","—")</f>
        <v>—</v>
      </c>
      <c r="M42" s="50" t="str">
        <f aca="false">IF(E42&gt;=PERCENTILE($E$5:$E$79,0.8),"A",IF(E42&gt;=PERCENTILE($E$5:$E$79,0.5),"B","C"))</f>
        <v>C</v>
      </c>
      <c r="N42" s="51" t="n">
        <f aca="false">IFERROR(Base_Datos!O44/Base_Datos!O83,0)</f>
        <v>0.0107454939886057</v>
      </c>
      <c r="O42" s="52" t="str">
        <f aca="false">IF(F42&lt;7,"REPOSICIÓN URGENTE",IF(F42&lt;14,"Revisar orden de compra",IF(AND(F42&gt;180,J42&gt;60),"LIQUIDAR / DEVOLVER",IF(F42&gt;90,"Reducir próxima compra","Stock en niveles óptimos"))))</f>
        <v>Reducir próxima compra</v>
      </c>
      <c r="P42" s="11" t="n">
        <f aca="false">IF(F42&lt;7,1,IF(AND(F42&gt;180,J42&gt;60),2,IF(F42&lt;14,3,IF(F42&gt;90,4,5))))</f>
        <v>4</v>
      </c>
    </row>
    <row r="43" customFormat="false" ht="18" hidden="false" customHeight="true" outlineLevel="0" collapsed="false">
      <c r="A43" s="33" t="str">
        <f aca="false">Base_Datos!A45</f>
        <v>SKU-039</v>
      </c>
      <c r="B43" s="34" t="str">
        <f aca="false">Base_Datos!B45</f>
        <v>Trapo de Piso x1</v>
      </c>
      <c r="C43" s="35" t="str">
        <f aca="false">Base_Datos!C45</f>
        <v>Limpieza del Hogar</v>
      </c>
      <c r="D43" s="35" t="n">
        <f aca="false">Base_Datos!G45</f>
        <v>36</v>
      </c>
      <c r="E43" s="36" t="n">
        <f aca="false">Base_Datos!P45</f>
        <v>17.6666666666667</v>
      </c>
      <c r="F43" s="37" t="n">
        <f aca="false">IFERROR(Base_Datos!G45/(Base_Datos!P45/30),9999)</f>
        <v>61.1320754716981</v>
      </c>
      <c r="G43" s="38" t="n">
        <f aca="false">IFERROR(Base_Datos!O45/Base_Datos!G45,0)</f>
        <v>2.94444444444444</v>
      </c>
      <c r="H43" s="39" t="n">
        <f aca="false">Base_Datos!S45</f>
        <v>136.8</v>
      </c>
      <c r="I43" s="35" t="n">
        <f aca="false">Base_Datos!H45</f>
        <v>5</v>
      </c>
      <c r="J43" s="35" t="n">
        <f aca="false">Base_Datos!R45</f>
        <v>53</v>
      </c>
      <c r="K43" s="40" t="str">
        <f aca="false">IF(IFERROR(Base_Datos!G45/(Base_Datos!P45/30),9999)&lt;7,"🔴 QUIEBRE",IF(IFERROR(Base_Datos!G45/(Base_Datos!P45/30),9999)&lt;14,"🟡 CRÍTICO",IF(IFERROR(Base_Datos!G45/(Base_Datos!P45/30),9999)&lt;=90,"🟢 NORMAL",IF(IFERROR(Base_Datos!G45/(Base_Datos!P45/30),9999)&lt;=180,"🟡 SOBRESTOCK","🔴 STOCK MUERTO"))))</f>
        <v>🟢 NORMAL</v>
      </c>
      <c r="L43" s="20" t="str">
        <f aca="false">IF(F43&lt;7,"⚠ SÍ","—")</f>
        <v>—</v>
      </c>
      <c r="M43" s="40" t="str">
        <f aca="false">IF(E43&gt;=PERCENTILE($E$5:$E$79,0.8),"A",IF(E43&gt;=PERCENTILE($E$5:$E$79,0.5),"B","C"))</f>
        <v>C</v>
      </c>
      <c r="N43" s="41" t="n">
        <f aca="false">IFERROR(Base_Datos!O45/Base_Datos!O83,0)</f>
        <v>0.00214909879772114</v>
      </c>
      <c r="O43" s="42" t="str">
        <f aca="false">IF(F43&lt;7,"REPOSICIÓN URGENTE",IF(F43&lt;14,"Revisar orden de compra",IF(AND(F43&gt;180,J43&gt;60),"LIQUIDAR / DEVOLVER",IF(F43&gt;90,"Reducir próxima compra","Stock en niveles óptimos"))))</f>
        <v>Stock en niveles óptimos</v>
      </c>
      <c r="P43" s="20" t="n">
        <f aca="false">IF(F43&lt;7,1,IF(AND(F43&gt;180,J43&gt;60),2,IF(F43&lt;14,3,IF(F43&gt;90,4,5))))</f>
        <v>5</v>
      </c>
    </row>
    <row r="44" customFormat="false" ht="18" hidden="false" customHeight="true" outlineLevel="0" collapsed="false">
      <c r="A44" s="43" t="str">
        <f aca="false">Base_Datos!A46</f>
        <v>SKU-040</v>
      </c>
      <c r="B44" s="44" t="str">
        <f aca="false">Base_Datos!B46</f>
        <v>Escoba con Mango</v>
      </c>
      <c r="C44" s="45" t="str">
        <f aca="false">Base_Datos!C46</f>
        <v>Limpieza del Hogar</v>
      </c>
      <c r="D44" s="45" t="n">
        <f aca="false">Base_Datos!G46</f>
        <v>163</v>
      </c>
      <c r="E44" s="46" t="n">
        <f aca="false">Base_Datos!P46</f>
        <v>121</v>
      </c>
      <c r="F44" s="47" t="n">
        <f aca="false">IFERROR(Base_Datos!G46/(Base_Datos!P46/30),9999)</f>
        <v>40.4132231404959</v>
      </c>
      <c r="G44" s="48" t="n">
        <f aca="false">IFERROR(Base_Datos!O46/Base_Datos!G46,0)</f>
        <v>4.45398773006135</v>
      </c>
      <c r="H44" s="49" t="n">
        <f aca="false">Base_Datos!S46</f>
        <v>1385.5</v>
      </c>
      <c r="I44" s="45" t="n">
        <f aca="false">Base_Datos!H46</f>
        <v>26</v>
      </c>
      <c r="J44" s="45" t="n">
        <f aca="false">Base_Datos!R46</f>
        <v>22</v>
      </c>
      <c r="K44" s="50" t="str">
        <f aca="false">IF(IFERROR(Base_Datos!G46/(Base_Datos!P46/30),9999)&lt;7,"🔴 QUIEBRE",IF(IFERROR(Base_Datos!G46/(Base_Datos!P46/30),9999)&lt;14,"🟡 CRÍTICO",IF(IFERROR(Base_Datos!G46/(Base_Datos!P46/30),9999)&lt;=90,"🟢 NORMAL",IF(IFERROR(Base_Datos!G46/(Base_Datos!P46/30),9999)&lt;=180,"🟡 SOBRESTOCK","🔴 STOCK MUERTO"))))</f>
        <v>🟢 NORMAL</v>
      </c>
      <c r="L44" s="11" t="str">
        <f aca="false">IF(F44&lt;7,"⚠ SÍ","—")</f>
        <v>—</v>
      </c>
      <c r="M44" s="50" t="str">
        <f aca="false">IF(E44&gt;=PERCENTILE($E$5:$E$79,0.8),"A",IF(E44&gt;=PERCENTILE($E$5:$E$79,0.5),"B","C"))</f>
        <v>B</v>
      </c>
      <c r="N44" s="51" t="n">
        <f aca="false">IFERROR(Base_Datos!O46/Base_Datos!O83,0)</f>
        <v>0.0147192993126939</v>
      </c>
      <c r="O44" s="52" t="str">
        <f aca="false">IF(F44&lt;7,"REPOSICIÓN URGENTE",IF(F44&lt;14,"Revisar orden de compra",IF(AND(F44&gt;180,J44&gt;60),"LIQUIDAR / DEVOLVER",IF(F44&gt;90,"Reducir próxima compra","Stock en niveles óptimos"))))</f>
        <v>Stock en niveles óptimos</v>
      </c>
      <c r="P44" s="11" t="n">
        <f aca="false">IF(F44&lt;7,1,IF(AND(F44&gt;180,J44&gt;60),2,IF(F44&lt;14,3,IF(F44&gt;90,4,5))))</f>
        <v>5</v>
      </c>
    </row>
    <row r="45" customFormat="false" ht="18" hidden="false" customHeight="true" outlineLevel="0" collapsed="false">
      <c r="A45" s="33" t="str">
        <f aca="false">Base_Datos!A47</f>
        <v>SKU-041</v>
      </c>
      <c r="B45" s="34" t="str">
        <f aca="false">Base_Datos!B47</f>
        <v>Cesto de Residuos 20L</v>
      </c>
      <c r="C45" s="35" t="str">
        <f aca="false">Base_Datos!C47</f>
        <v>Limpieza del Hogar</v>
      </c>
      <c r="D45" s="35" t="n">
        <f aca="false">Base_Datos!G47</f>
        <v>200</v>
      </c>
      <c r="E45" s="36" t="n">
        <f aca="false">Base_Datos!P47</f>
        <v>104</v>
      </c>
      <c r="F45" s="37" t="n">
        <f aca="false">IFERROR(Base_Datos!G47/(Base_Datos!P47/30),9999)</f>
        <v>57.6923076923077</v>
      </c>
      <c r="G45" s="38" t="n">
        <f aca="false">IFERROR(Base_Datos!O47/Base_Datos!G47,0)</f>
        <v>3.12</v>
      </c>
      <c r="H45" s="39" t="n">
        <f aca="false">Base_Datos!S47</f>
        <v>2400</v>
      </c>
      <c r="I45" s="35" t="n">
        <f aca="false">Base_Datos!H47</f>
        <v>25</v>
      </c>
      <c r="J45" s="35" t="n">
        <f aca="false">Base_Datos!R47</f>
        <v>3</v>
      </c>
      <c r="K45" s="40" t="str">
        <f aca="false">IF(IFERROR(Base_Datos!G47/(Base_Datos!P47/30),9999)&lt;7,"🔴 QUIEBRE",IF(IFERROR(Base_Datos!G47/(Base_Datos!P47/30),9999)&lt;14,"🟡 CRÍTICO",IF(IFERROR(Base_Datos!G47/(Base_Datos!P47/30),9999)&lt;=90,"🟢 NORMAL",IF(IFERROR(Base_Datos!G47/(Base_Datos!P47/30),9999)&lt;=180,"🟡 SOBRESTOCK","🔴 STOCK MUERTO"))))</f>
        <v>🟢 NORMAL</v>
      </c>
      <c r="L45" s="20" t="str">
        <f aca="false">IF(F45&lt;7,"⚠ SÍ","—")</f>
        <v>—</v>
      </c>
      <c r="M45" s="40" t="str">
        <f aca="false">IF(E45&gt;=PERCENTILE($E$5:$E$79,0.8),"A",IF(E45&gt;=PERCENTILE($E$5:$E$79,0.5),"B","C"))</f>
        <v>B</v>
      </c>
      <c r="N45" s="41" t="n">
        <f aca="false">IFERROR(Base_Datos!O47/Base_Datos!O83,0)</f>
        <v>0.0126512985828113</v>
      </c>
      <c r="O45" s="42" t="str">
        <f aca="false">IF(F45&lt;7,"REPOSICIÓN URGENTE",IF(F45&lt;14,"Revisar orden de compra",IF(AND(F45&gt;180,J45&gt;60),"LIQUIDAR / DEVOLVER",IF(F45&gt;90,"Reducir próxima compra","Stock en niveles óptimos"))))</f>
        <v>Stock en niveles óptimos</v>
      </c>
      <c r="P45" s="20" t="n">
        <f aca="false">IF(F45&lt;7,1,IF(AND(F45&gt;180,J45&gt;60),2,IF(F45&lt;14,3,IF(F45&gt;90,4,5))))</f>
        <v>5</v>
      </c>
    </row>
    <row r="46" customFormat="false" ht="18" hidden="false" customHeight="true" outlineLevel="0" collapsed="false">
      <c r="A46" s="43" t="str">
        <f aca="false">Base_Datos!A48</f>
        <v>SKU-042</v>
      </c>
      <c r="B46" s="44" t="str">
        <f aca="false">Base_Datos!B48</f>
        <v>Bolsas de Basura x10 90L</v>
      </c>
      <c r="C46" s="45" t="str">
        <f aca="false">Base_Datos!C48</f>
        <v>Limpieza del Hogar</v>
      </c>
      <c r="D46" s="45" t="n">
        <f aca="false">Base_Datos!G48</f>
        <v>606</v>
      </c>
      <c r="E46" s="46" t="n">
        <f aca="false">Base_Datos!P48</f>
        <v>91.5</v>
      </c>
      <c r="F46" s="47" t="n">
        <f aca="false">IFERROR(Base_Datos!G48/(Base_Datos!P48/30),9999)</f>
        <v>198.688524590164</v>
      </c>
      <c r="G46" s="48" t="n">
        <f aca="false">IFERROR(Base_Datos!O48/Base_Datos!G48,0)</f>
        <v>0.905940594059406</v>
      </c>
      <c r="H46" s="49" t="n">
        <f aca="false">Base_Datos!S48</f>
        <v>1696.8</v>
      </c>
      <c r="I46" s="45" t="n">
        <f aca="false">Base_Datos!H48</f>
        <v>14</v>
      </c>
      <c r="J46" s="45" t="n">
        <f aca="false">Base_Datos!R48</f>
        <v>14</v>
      </c>
      <c r="K46" s="50" t="str">
        <f aca="false">IF(IFERROR(Base_Datos!G48/(Base_Datos!P48/30),9999)&lt;7,"🔴 QUIEBRE",IF(IFERROR(Base_Datos!G48/(Base_Datos!P48/30),9999)&lt;14,"🟡 CRÍTICO",IF(IFERROR(Base_Datos!G48/(Base_Datos!P48/30),9999)&lt;=90,"🟢 NORMAL",IF(IFERROR(Base_Datos!G48/(Base_Datos!P48/30),9999)&lt;=180,"🟡 SOBRESTOCK","🔴 STOCK MUERTO"))))</f>
        <v>🔴 STOCK MUERTO</v>
      </c>
      <c r="L46" s="11" t="str">
        <f aca="false">IF(F46&lt;7,"⚠ SÍ","—")</f>
        <v>—</v>
      </c>
      <c r="M46" s="50" t="str">
        <f aca="false">IF(E46&gt;=PERCENTILE($E$5:$E$79,0.8),"A",IF(E46&gt;=PERCENTILE($E$5:$E$79,0.5),"B","C"))</f>
        <v>C</v>
      </c>
      <c r="N46" s="51" t="n">
        <f aca="false">IFERROR(Base_Datos!O48/Base_Datos!O83,0)</f>
        <v>0.0111307098108388</v>
      </c>
      <c r="O46" s="52" t="str">
        <f aca="false">IF(F46&lt;7,"REPOSICIÓN URGENTE",IF(F46&lt;14,"Revisar orden de compra",IF(AND(F46&gt;180,J46&gt;60),"LIQUIDAR / DEVOLVER",IF(F46&gt;90,"Reducir próxima compra","Stock en niveles óptimos"))))</f>
        <v>Reducir próxima compra</v>
      </c>
      <c r="P46" s="11" t="n">
        <f aca="false">IF(F46&lt;7,1,IF(AND(F46&gt;180,J46&gt;60),2,IF(F46&lt;14,3,IF(F46&gt;90,4,5))))</f>
        <v>4</v>
      </c>
    </row>
    <row r="47" customFormat="false" ht="18" hidden="false" customHeight="true" outlineLevel="0" collapsed="false">
      <c r="A47" s="33" t="str">
        <f aca="false">Base_Datos!A49</f>
        <v>SKU-043</v>
      </c>
      <c r="B47" s="34" t="str">
        <f aca="false">Base_Datos!B49</f>
        <v>Bolsas de Basura x30 35L</v>
      </c>
      <c r="C47" s="35" t="str">
        <f aca="false">Base_Datos!C49</f>
        <v>Limpieza del Hogar</v>
      </c>
      <c r="D47" s="35" t="n">
        <f aca="false">Base_Datos!G49</f>
        <v>209</v>
      </c>
      <c r="E47" s="36" t="n">
        <f aca="false">Base_Datos!P49</f>
        <v>92.5</v>
      </c>
      <c r="F47" s="37" t="n">
        <f aca="false">IFERROR(Base_Datos!G49/(Base_Datos!P49/30),9999)</f>
        <v>67.7837837837838</v>
      </c>
      <c r="G47" s="38" t="n">
        <f aca="false">IFERROR(Base_Datos!O49/Base_Datos!G49,0)</f>
        <v>2.6555023923445</v>
      </c>
      <c r="H47" s="39" t="n">
        <f aca="false">Base_Datos!S49</f>
        <v>668.8</v>
      </c>
      <c r="I47" s="35" t="n">
        <f aca="false">Base_Datos!H49</f>
        <v>26</v>
      </c>
      <c r="J47" s="35" t="n">
        <f aca="false">Base_Datos!R49</f>
        <v>25</v>
      </c>
      <c r="K47" s="40" t="str">
        <f aca="false">IF(IFERROR(Base_Datos!G49/(Base_Datos!P49/30),9999)&lt;7,"🔴 QUIEBRE",IF(IFERROR(Base_Datos!G49/(Base_Datos!P49/30),9999)&lt;14,"🟡 CRÍTICO",IF(IFERROR(Base_Datos!G49/(Base_Datos!P49/30),9999)&lt;=90,"🟢 NORMAL",IF(IFERROR(Base_Datos!G49/(Base_Datos!P49/30),9999)&lt;=180,"🟡 SOBRESTOCK","🔴 STOCK MUERTO"))))</f>
        <v>🟢 NORMAL</v>
      </c>
      <c r="L47" s="20" t="str">
        <f aca="false">IF(F47&lt;7,"⚠ SÍ","—")</f>
        <v>—</v>
      </c>
      <c r="M47" s="40" t="str">
        <f aca="false">IF(E47&gt;=PERCENTILE($E$5:$E$79,0.8),"A",IF(E47&gt;=PERCENTILE($E$5:$E$79,0.5),"B","C"))</f>
        <v>C</v>
      </c>
      <c r="N47" s="41" t="n">
        <f aca="false">IFERROR(Base_Datos!O49/Base_Datos!O83,0)</f>
        <v>0.0112523569125966</v>
      </c>
      <c r="O47" s="42" t="str">
        <f aca="false">IF(F47&lt;7,"REPOSICIÓN URGENTE",IF(F47&lt;14,"Revisar orden de compra",IF(AND(F47&gt;180,J47&gt;60),"LIQUIDAR / DEVOLVER",IF(F47&gt;90,"Reducir próxima compra","Stock en niveles óptimos"))))</f>
        <v>Stock en niveles óptimos</v>
      </c>
      <c r="P47" s="20" t="n">
        <f aca="false">IF(F47&lt;7,1,IF(AND(F47&gt;180,J47&gt;60),2,IF(F47&lt;14,3,IF(F47&gt;90,4,5))))</f>
        <v>5</v>
      </c>
    </row>
    <row r="48" customFormat="false" ht="18" hidden="false" customHeight="true" outlineLevel="0" collapsed="false">
      <c r="A48" s="43" t="str">
        <f aca="false">Base_Datos!A50</f>
        <v>SKU-044</v>
      </c>
      <c r="B48" s="44" t="str">
        <f aca="false">Base_Datos!B50</f>
        <v>Papel Higiénico x4</v>
      </c>
      <c r="C48" s="45" t="str">
        <f aca="false">Base_Datos!C50</f>
        <v>Limpieza del Hogar</v>
      </c>
      <c r="D48" s="45" t="n">
        <f aca="false">Base_Datos!G50</f>
        <v>20</v>
      </c>
      <c r="E48" s="46" t="n">
        <f aca="false">Base_Datos!P50</f>
        <v>279.5</v>
      </c>
      <c r="F48" s="47" t="n">
        <f aca="false">IFERROR(Base_Datos!G50/(Base_Datos!P50/30),9999)</f>
        <v>2.14669051878354</v>
      </c>
      <c r="G48" s="48" t="n">
        <f aca="false">IFERROR(Base_Datos!O50/Base_Datos!G50,0)</f>
        <v>83.85</v>
      </c>
      <c r="H48" s="49" t="n">
        <f aca="false">Base_Datos!S50</f>
        <v>72</v>
      </c>
      <c r="I48" s="45" t="n">
        <f aca="false">Base_Datos!H50</f>
        <v>47</v>
      </c>
      <c r="J48" s="45" t="n">
        <f aca="false">Base_Datos!R50</f>
        <v>15</v>
      </c>
      <c r="K48" s="50" t="str">
        <f aca="false">IF(IFERROR(Base_Datos!G50/(Base_Datos!P50/30),9999)&lt;7,"🔴 QUIEBRE",IF(IFERROR(Base_Datos!G50/(Base_Datos!P50/30),9999)&lt;14,"🟡 CRÍTICO",IF(IFERROR(Base_Datos!G50/(Base_Datos!P50/30),9999)&lt;=90,"🟢 NORMAL",IF(IFERROR(Base_Datos!G50/(Base_Datos!P50/30),9999)&lt;=180,"🟡 SOBRESTOCK","🔴 STOCK MUERTO"))))</f>
        <v>🔴 QUIEBRE</v>
      </c>
      <c r="L48" s="11" t="str">
        <f aca="false">IF(F48&lt;7,"⚠ SÍ","—")</f>
        <v>⚠ SÍ</v>
      </c>
      <c r="M48" s="50" t="str">
        <f aca="false">IF(E48&gt;=PERCENTILE($E$5:$E$79,0.8),"A",IF(E48&gt;=PERCENTILE($E$5:$E$79,0.5),"B","C"))</f>
        <v>A</v>
      </c>
      <c r="N48" s="51" t="n">
        <f aca="false">IFERROR(Base_Datos!O50/Base_Datos!O83,0)</f>
        <v>0.0340003649413053</v>
      </c>
      <c r="O48" s="52" t="str">
        <f aca="false">IF(F48&lt;7,"REPOSICIÓN URGENTE",IF(F48&lt;14,"Revisar orden de compra",IF(AND(F48&gt;180,J48&gt;60),"LIQUIDAR / DEVOLVER",IF(F48&gt;90,"Reducir próxima compra","Stock en niveles óptimos"))))</f>
        <v>REPOSICIÓN URGENTE</v>
      </c>
      <c r="P48" s="11" t="n">
        <f aca="false">IF(F48&lt;7,1,IF(AND(F48&gt;180,J48&gt;60),2,IF(F48&lt;14,3,IF(F48&gt;90,4,5))))</f>
        <v>1</v>
      </c>
    </row>
    <row r="49" customFormat="false" ht="18" hidden="false" customHeight="true" outlineLevel="0" collapsed="false">
      <c r="A49" s="33" t="str">
        <f aca="false">Base_Datos!A51</f>
        <v>SKU-045</v>
      </c>
      <c r="B49" s="34" t="str">
        <f aca="false">Base_Datos!B51</f>
        <v>Papel Higiénico x12</v>
      </c>
      <c r="C49" s="35" t="str">
        <f aca="false">Base_Datos!C51</f>
        <v>Limpieza del Hogar</v>
      </c>
      <c r="D49" s="35" t="n">
        <f aca="false">Base_Datos!G51</f>
        <v>343</v>
      </c>
      <c r="E49" s="36" t="n">
        <f aca="false">Base_Datos!P51</f>
        <v>207.166666666667</v>
      </c>
      <c r="F49" s="37" t="n">
        <f aca="false">IFERROR(Base_Datos!G51/(Base_Datos!P51/30),9999)</f>
        <v>49.6701528559936</v>
      </c>
      <c r="G49" s="38" t="n">
        <f aca="false">IFERROR(Base_Datos!O51/Base_Datos!G51,0)</f>
        <v>3.62390670553936</v>
      </c>
      <c r="H49" s="39" t="n">
        <f aca="false">Base_Datos!S51</f>
        <v>3361.4</v>
      </c>
      <c r="I49" s="35" t="n">
        <f aca="false">Base_Datos!H51</f>
        <v>56</v>
      </c>
      <c r="J49" s="35" t="n">
        <f aca="false">Base_Datos!R51</f>
        <v>18</v>
      </c>
      <c r="K49" s="40" t="str">
        <f aca="false">IF(IFERROR(Base_Datos!G51/(Base_Datos!P51/30),9999)&lt;7,"🔴 QUIEBRE",IF(IFERROR(Base_Datos!G51/(Base_Datos!P51/30),9999)&lt;14,"🟡 CRÍTICO",IF(IFERROR(Base_Datos!G51/(Base_Datos!P51/30),9999)&lt;=90,"🟢 NORMAL",IF(IFERROR(Base_Datos!G51/(Base_Datos!P51/30),9999)&lt;=180,"🟡 SOBRESTOCK","🔴 STOCK MUERTO"))))</f>
        <v>🟢 NORMAL</v>
      </c>
      <c r="L49" s="20" t="str">
        <f aca="false">IF(F49&lt;7,"⚠ SÍ","—")</f>
        <v>—</v>
      </c>
      <c r="M49" s="40" t="str">
        <f aca="false">IF(E49&gt;=PERCENTILE($E$5:$E$79,0.8),"A",IF(E49&gt;=PERCENTILE($E$5:$E$79,0.5),"B","C"))</f>
        <v>A</v>
      </c>
      <c r="N49" s="41" t="n">
        <f aca="false">IFERROR(Base_Datos!O51/Base_Datos!O83,0)</f>
        <v>0.0252012245808244</v>
      </c>
      <c r="O49" s="42" t="str">
        <f aca="false">IF(F49&lt;7,"REPOSICIÓN URGENTE",IF(F49&lt;14,"Revisar orden de compra",IF(AND(F49&gt;180,J49&gt;60),"LIQUIDAR / DEVOLVER",IF(F49&gt;90,"Reducir próxima compra","Stock en niveles óptimos"))))</f>
        <v>Stock en niveles óptimos</v>
      </c>
      <c r="P49" s="20" t="n">
        <f aca="false">IF(F49&lt;7,1,IF(AND(F49&gt;180,J49&gt;60),2,IF(F49&lt;14,3,IF(F49&gt;90,4,5))))</f>
        <v>5</v>
      </c>
    </row>
    <row r="50" customFormat="false" ht="18" hidden="false" customHeight="true" outlineLevel="0" collapsed="false">
      <c r="A50" s="43" t="str">
        <f aca="false">Base_Datos!A52</f>
        <v>SKU-046</v>
      </c>
      <c r="B50" s="44" t="str">
        <f aca="false">Base_Datos!B52</f>
        <v>Servilletas x100</v>
      </c>
      <c r="C50" s="45" t="str">
        <f aca="false">Base_Datos!C52</f>
        <v>Limpieza del Hogar</v>
      </c>
      <c r="D50" s="45" t="n">
        <f aca="false">Base_Datos!G52</f>
        <v>338</v>
      </c>
      <c r="E50" s="46" t="n">
        <f aca="false">Base_Datos!P52</f>
        <v>161</v>
      </c>
      <c r="F50" s="47" t="n">
        <f aca="false">IFERROR(Base_Datos!G52/(Base_Datos!P52/30),9999)</f>
        <v>62.9813664596273</v>
      </c>
      <c r="G50" s="48" t="n">
        <f aca="false">IFERROR(Base_Datos!O52/Base_Datos!G52,0)</f>
        <v>2.85798816568047</v>
      </c>
      <c r="H50" s="49" t="n">
        <f aca="false">Base_Datos!S52</f>
        <v>642.2</v>
      </c>
      <c r="I50" s="45" t="n">
        <f aca="false">Base_Datos!H52</f>
        <v>36</v>
      </c>
      <c r="J50" s="45" t="n">
        <f aca="false">Base_Datos!R52</f>
        <v>21</v>
      </c>
      <c r="K50" s="50" t="str">
        <f aca="false">IF(IFERROR(Base_Datos!G52/(Base_Datos!P52/30),9999)&lt;7,"🔴 QUIEBRE",IF(IFERROR(Base_Datos!G52/(Base_Datos!P52/30),9999)&lt;14,"🟡 CRÍTICO",IF(IFERROR(Base_Datos!G52/(Base_Datos!P52/30),9999)&lt;=90,"🟢 NORMAL",IF(IFERROR(Base_Datos!G52/(Base_Datos!P52/30),9999)&lt;=180,"🟡 SOBRESTOCK","🔴 STOCK MUERTO"))))</f>
        <v>🟢 NORMAL</v>
      </c>
      <c r="L50" s="11" t="str">
        <f aca="false">IF(F50&lt;7,"⚠ SÍ","—")</f>
        <v>—</v>
      </c>
      <c r="M50" s="50" t="str">
        <f aca="false">IF(E50&gt;=PERCENTILE($E$5:$E$79,0.8),"A",IF(E50&gt;=PERCENTILE($E$5:$E$79,0.5),"B","C"))</f>
        <v>B</v>
      </c>
      <c r="N50" s="51" t="n">
        <f aca="false">IFERROR(Base_Datos!O52/Base_Datos!O83,0)</f>
        <v>0.0195851833830059</v>
      </c>
      <c r="O50" s="52" t="str">
        <f aca="false">IF(F50&lt;7,"REPOSICIÓN URGENTE",IF(F50&lt;14,"Revisar orden de compra",IF(AND(F50&gt;180,J50&gt;60),"LIQUIDAR / DEVOLVER",IF(F50&gt;90,"Reducir próxima compra","Stock en niveles óptimos"))))</f>
        <v>Stock en niveles óptimos</v>
      </c>
      <c r="P50" s="11" t="n">
        <f aca="false">IF(F50&lt;7,1,IF(AND(F50&gt;180,J50&gt;60),2,IF(F50&lt;14,3,IF(F50&gt;90,4,5))))</f>
        <v>5</v>
      </c>
    </row>
    <row r="51" customFormat="false" ht="18" hidden="false" customHeight="true" outlineLevel="0" collapsed="false">
      <c r="A51" s="33" t="str">
        <f aca="false">Base_Datos!A53</f>
        <v>SKU-047</v>
      </c>
      <c r="B51" s="34" t="str">
        <f aca="false">Base_Datos!B53</f>
        <v>Toallas de Papel x2</v>
      </c>
      <c r="C51" s="35" t="str">
        <f aca="false">Base_Datos!C53</f>
        <v>Limpieza del Hogar</v>
      </c>
      <c r="D51" s="35" t="n">
        <f aca="false">Base_Datos!G53</f>
        <v>10</v>
      </c>
      <c r="E51" s="36" t="n">
        <f aca="false">Base_Datos!P53</f>
        <v>10.3333333333333</v>
      </c>
      <c r="F51" s="37" t="n">
        <f aca="false">IFERROR(Base_Datos!G53/(Base_Datos!P53/30),9999)</f>
        <v>29.0322580645161</v>
      </c>
      <c r="G51" s="38" t="n">
        <f aca="false">IFERROR(Base_Datos!O53/Base_Datos!G53,0)</f>
        <v>6.2</v>
      </c>
      <c r="H51" s="39" t="n">
        <f aca="false">Base_Datos!S53</f>
        <v>34</v>
      </c>
      <c r="I51" s="35" t="n">
        <f aca="false">Base_Datos!H53</f>
        <v>5</v>
      </c>
      <c r="J51" s="35" t="n">
        <f aca="false">Base_Datos!R53</f>
        <v>57</v>
      </c>
      <c r="K51" s="40" t="str">
        <f aca="false">IF(IFERROR(Base_Datos!G53/(Base_Datos!P53/30),9999)&lt;7,"🔴 QUIEBRE",IF(IFERROR(Base_Datos!G53/(Base_Datos!P53/30),9999)&lt;14,"🟡 CRÍTICO",IF(IFERROR(Base_Datos!G53/(Base_Datos!P53/30),9999)&lt;=90,"🟢 NORMAL",IF(IFERROR(Base_Datos!G53/(Base_Datos!P53/30),9999)&lt;=180,"🟡 SOBRESTOCK","🔴 STOCK MUERTO"))))</f>
        <v>🟢 NORMAL</v>
      </c>
      <c r="L51" s="20" t="str">
        <f aca="false">IF(F51&lt;7,"⚠ SÍ","—")</f>
        <v>—</v>
      </c>
      <c r="M51" s="40" t="str">
        <f aca="false">IF(E51&gt;=PERCENTILE($E$5:$E$79,0.8),"A",IF(E51&gt;=PERCENTILE($E$5:$E$79,0.5),"B","C"))</f>
        <v>C</v>
      </c>
      <c r="N51" s="41" t="n">
        <f aca="false">IFERROR(Base_Datos!O53/Base_Datos!O83,0)</f>
        <v>0.00125702005149727</v>
      </c>
      <c r="O51" s="42" t="str">
        <f aca="false">IF(F51&lt;7,"REPOSICIÓN URGENTE",IF(F51&lt;14,"Revisar orden de compra",IF(AND(F51&gt;180,J51&gt;60),"LIQUIDAR / DEVOLVER",IF(F51&gt;90,"Reducir próxima compra","Stock en niveles óptimos"))))</f>
        <v>Stock en niveles óptimos</v>
      </c>
      <c r="P51" s="20" t="n">
        <f aca="false">IF(F51&lt;7,1,IF(AND(F51&gt;180,J51&gt;60),2,IF(F51&lt;14,3,IF(F51&gt;90,4,5))))</f>
        <v>5</v>
      </c>
    </row>
    <row r="52" customFormat="false" ht="18" hidden="false" customHeight="true" outlineLevel="0" collapsed="false">
      <c r="A52" s="43" t="str">
        <f aca="false">Base_Datos!A54</f>
        <v>SKU-048</v>
      </c>
      <c r="B52" s="44" t="str">
        <f aca="false">Base_Datos!B54</f>
        <v>Repasador x2</v>
      </c>
      <c r="C52" s="45" t="str">
        <f aca="false">Base_Datos!C54</f>
        <v>Limpieza del Hogar</v>
      </c>
      <c r="D52" s="45" t="n">
        <f aca="false">Base_Datos!G54</f>
        <v>229</v>
      </c>
      <c r="E52" s="46" t="n">
        <f aca="false">Base_Datos!P54</f>
        <v>1.66666666666667</v>
      </c>
      <c r="F52" s="47" t="n">
        <f aca="false">IFERROR(Base_Datos!G54/(Base_Datos!P54/30),9999)</f>
        <v>4122</v>
      </c>
      <c r="G52" s="48" t="n">
        <f aca="false">IFERROR(Base_Datos!O54/Base_Datos!G54,0)</f>
        <v>0.0436681222707424</v>
      </c>
      <c r="H52" s="49" t="n">
        <f aca="false">Base_Datos!S54</f>
        <v>961.8</v>
      </c>
      <c r="I52" s="45" t="n">
        <f aca="false">Base_Datos!H54</f>
        <v>5</v>
      </c>
      <c r="J52" s="45" t="n">
        <f aca="false">Base_Datos!R54</f>
        <v>116</v>
      </c>
      <c r="K52" s="50" t="str">
        <f aca="false">IF(IFERROR(Base_Datos!G54/(Base_Datos!P54/30),9999)&lt;7,"🔴 QUIEBRE",IF(IFERROR(Base_Datos!G54/(Base_Datos!P54/30),9999)&lt;14,"🟡 CRÍTICO",IF(IFERROR(Base_Datos!G54/(Base_Datos!P54/30),9999)&lt;=90,"🟢 NORMAL",IF(IFERROR(Base_Datos!G54/(Base_Datos!P54/30),9999)&lt;=180,"🟡 SOBRESTOCK","🔴 STOCK MUERTO"))))</f>
        <v>🔴 STOCK MUERTO</v>
      </c>
      <c r="L52" s="11" t="str">
        <f aca="false">IF(F52&lt;7,"⚠ SÍ","—")</f>
        <v>—</v>
      </c>
      <c r="M52" s="50" t="str">
        <f aca="false">IF(E52&gt;=PERCENTILE($E$5:$E$79,0.8),"A",IF(E52&gt;=PERCENTILE($E$5:$E$79,0.5),"B","C"))</f>
        <v>C</v>
      </c>
      <c r="N52" s="51" t="n">
        <f aca="false">IFERROR(Base_Datos!O54/Base_Datos!O83,0)</f>
        <v>0.000202745169596334</v>
      </c>
      <c r="O52" s="52" t="str">
        <f aca="false">IF(F52&lt;7,"REPOSICIÓN URGENTE",IF(F52&lt;14,"Revisar orden de compra",IF(AND(F52&gt;180,J52&gt;60),"LIQUIDAR / DEVOLVER",IF(F52&gt;90,"Reducir próxima compra","Stock en niveles óptimos"))))</f>
        <v>LIQUIDAR / DEVOLVER</v>
      </c>
      <c r="P52" s="11" t="n">
        <f aca="false">IF(F52&lt;7,1,IF(AND(F52&gt;180,J52&gt;60),2,IF(F52&lt;14,3,IF(F52&gt;90,4,5))))</f>
        <v>2</v>
      </c>
    </row>
    <row r="53" customFormat="false" ht="18" hidden="false" customHeight="true" outlineLevel="0" collapsed="false">
      <c r="A53" s="33" t="str">
        <f aca="false">Base_Datos!A55</f>
        <v>SKU-049</v>
      </c>
      <c r="B53" s="34" t="str">
        <f aca="false">Base_Datos!B55</f>
        <v>Guantes de Látex Talle M</v>
      </c>
      <c r="C53" s="35" t="str">
        <f aca="false">Base_Datos!C55</f>
        <v>Limpieza del Hogar</v>
      </c>
      <c r="D53" s="35" t="n">
        <f aca="false">Base_Datos!G55</f>
        <v>259</v>
      </c>
      <c r="E53" s="36" t="n">
        <f aca="false">Base_Datos!P55</f>
        <v>159.833333333333</v>
      </c>
      <c r="F53" s="37" t="n">
        <f aca="false">IFERROR(Base_Datos!G55/(Base_Datos!P55/30),9999)</f>
        <v>48.6131386861314</v>
      </c>
      <c r="G53" s="38" t="n">
        <f aca="false">IFERROR(Base_Datos!O55/Base_Datos!G55,0)</f>
        <v>3.7027027027027</v>
      </c>
      <c r="H53" s="39" t="n">
        <f aca="false">Base_Datos!S55</f>
        <v>673.4</v>
      </c>
      <c r="I53" s="35" t="n">
        <f aca="false">Base_Datos!H55</f>
        <v>33</v>
      </c>
      <c r="J53" s="35" t="n">
        <f aca="false">Base_Datos!R55</f>
        <v>22</v>
      </c>
      <c r="K53" s="40" t="str">
        <f aca="false">IF(IFERROR(Base_Datos!G55/(Base_Datos!P55/30),9999)&lt;7,"🔴 QUIEBRE",IF(IFERROR(Base_Datos!G55/(Base_Datos!P55/30),9999)&lt;14,"🟡 CRÍTICO",IF(IFERROR(Base_Datos!G55/(Base_Datos!P55/30),9999)&lt;=90,"🟢 NORMAL",IF(IFERROR(Base_Datos!G55/(Base_Datos!P55/30),9999)&lt;=180,"🟡 SOBRESTOCK","🔴 STOCK MUERTO"))))</f>
        <v>🟢 NORMAL</v>
      </c>
      <c r="L53" s="20" t="str">
        <f aca="false">IF(F53&lt;7,"⚠ SÍ","—")</f>
        <v>—</v>
      </c>
      <c r="M53" s="40" t="str">
        <f aca="false">IF(E53&gt;=PERCENTILE($E$5:$E$79,0.8),"A",IF(E53&gt;=PERCENTILE($E$5:$E$79,0.5),"B","C"))</f>
        <v>B</v>
      </c>
      <c r="N53" s="41" t="n">
        <f aca="false">IFERROR(Base_Datos!O55/Base_Datos!O83,0)</f>
        <v>0.0194432617642885</v>
      </c>
      <c r="O53" s="42" t="str">
        <f aca="false">IF(F53&lt;7,"REPOSICIÓN URGENTE",IF(F53&lt;14,"Revisar orden de compra",IF(AND(F53&gt;180,J53&gt;60),"LIQUIDAR / DEVOLVER",IF(F53&gt;90,"Reducir próxima compra","Stock en niveles óptimos"))))</f>
        <v>Stock en niveles óptimos</v>
      </c>
      <c r="P53" s="20" t="n">
        <f aca="false">IF(F53&lt;7,1,IF(AND(F53&gt;180,J53&gt;60),2,IF(F53&lt;14,3,IF(F53&gt;90,4,5))))</f>
        <v>5</v>
      </c>
    </row>
    <row r="54" customFormat="false" ht="18" hidden="false" customHeight="true" outlineLevel="0" collapsed="false">
      <c r="A54" s="43" t="str">
        <f aca="false">Base_Datos!A56</f>
        <v>SKU-050</v>
      </c>
      <c r="B54" s="44" t="str">
        <f aca="false">Base_Datos!B56</f>
        <v>Guantes de Látex Talle G</v>
      </c>
      <c r="C54" s="45" t="str">
        <f aca="false">Base_Datos!C56</f>
        <v>Limpieza del Hogar</v>
      </c>
      <c r="D54" s="45" t="n">
        <f aca="false">Base_Datos!G56</f>
        <v>309</v>
      </c>
      <c r="E54" s="46" t="n">
        <f aca="false">Base_Datos!P56</f>
        <v>171.166666666667</v>
      </c>
      <c r="F54" s="47" t="n">
        <f aca="false">IFERROR(Base_Datos!G56/(Base_Datos!P56/30),9999)</f>
        <v>54.157740993184</v>
      </c>
      <c r="G54" s="48" t="n">
        <f aca="false">IFERROR(Base_Datos!O56/Base_Datos!G56,0)</f>
        <v>3.32362459546926</v>
      </c>
      <c r="H54" s="49" t="n">
        <f aca="false">Base_Datos!S56</f>
        <v>803.4</v>
      </c>
      <c r="I54" s="45" t="n">
        <f aca="false">Base_Datos!H56</f>
        <v>42</v>
      </c>
      <c r="J54" s="45" t="n">
        <f aca="false">Base_Datos!R56</f>
        <v>3</v>
      </c>
      <c r="K54" s="50" t="str">
        <f aca="false">IF(IFERROR(Base_Datos!G56/(Base_Datos!P56/30),9999)&lt;7,"🔴 QUIEBRE",IF(IFERROR(Base_Datos!G56/(Base_Datos!P56/30),9999)&lt;14,"🟡 CRÍTICO",IF(IFERROR(Base_Datos!G56/(Base_Datos!P56/30),9999)&lt;=90,"🟢 NORMAL",IF(IFERROR(Base_Datos!G56/(Base_Datos!P56/30),9999)&lt;=180,"🟡 SOBRESTOCK","🔴 STOCK MUERTO"))))</f>
        <v>🟢 NORMAL</v>
      </c>
      <c r="L54" s="11" t="str">
        <f aca="false">IF(F54&lt;7,"⚠ SÍ","—")</f>
        <v>—</v>
      </c>
      <c r="M54" s="50" t="str">
        <f aca="false">IF(E54&gt;=PERCENTILE($E$5:$E$79,0.8),"A",IF(E54&gt;=PERCENTILE($E$5:$E$79,0.5),"B","C"))</f>
        <v>A</v>
      </c>
      <c r="N54" s="51" t="n">
        <f aca="false">IFERROR(Base_Datos!O56/Base_Datos!O83,0)</f>
        <v>0.0208219289175435</v>
      </c>
      <c r="O54" s="52" t="str">
        <f aca="false">IF(F54&lt;7,"REPOSICIÓN URGENTE",IF(F54&lt;14,"Revisar orden de compra",IF(AND(F54&gt;180,J54&gt;60),"LIQUIDAR / DEVOLVER",IF(F54&gt;90,"Reducir próxima compra","Stock en niveles óptimos"))))</f>
        <v>Stock en niveles óptimos</v>
      </c>
      <c r="P54" s="11" t="n">
        <f aca="false">IF(F54&lt;7,1,IF(AND(F54&gt;180,J54&gt;60),2,IF(F54&lt;14,3,IF(F54&gt;90,4,5))))</f>
        <v>5</v>
      </c>
    </row>
    <row r="55" customFormat="false" ht="18" hidden="false" customHeight="true" outlineLevel="0" collapsed="false">
      <c r="A55" s="33" t="str">
        <f aca="false">Base_Datos!A58</f>
        <v>SKU-051</v>
      </c>
      <c r="B55" s="34" t="str">
        <f aca="false">Base_Datos!B58</f>
        <v>Jabón de Tocador x3</v>
      </c>
      <c r="C55" s="35" t="str">
        <f aca="false">Base_Datos!C58</f>
        <v>Higiene Personal</v>
      </c>
      <c r="D55" s="35" t="n">
        <f aca="false">Base_Datos!G58</f>
        <v>848</v>
      </c>
      <c r="E55" s="36" t="n">
        <f aca="false">Base_Datos!P58</f>
        <v>132.5</v>
      </c>
      <c r="F55" s="37" t="n">
        <f aca="false">IFERROR(Base_Datos!G58/(Base_Datos!P58/30),9999)</f>
        <v>192</v>
      </c>
      <c r="G55" s="38" t="n">
        <f aca="false">IFERROR(Base_Datos!O58/Base_Datos!G58,0)</f>
        <v>0.9375</v>
      </c>
      <c r="H55" s="39" t="n">
        <f aca="false">Base_Datos!S58</f>
        <v>2713.6</v>
      </c>
      <c r="I55" s="35" t="n">
        <f aca="false">Base_Datos!H58</f>
        <v>27</v>
      </c>
      <c r="J55" s="35" t="n">
        <f aca="false">Base_Datos!R58</f>
        <v>25</v>
      </c>
      <c r="K55" s="40" t="str">
        <f aca="false">IF(IFERROR(Base_Datos!G58/(Base_Datos!P58/30),9999)&lt;7,"🔴 QUIEBRE",IF(IFERROR(Base_Datos!G58/(Base_Datos!P58/30),9999)&lt;14,"🟡 CRÍTICO",IF(IFERROR(Base_Datos!G58/(Base_Datos!P58/30),9999)&lt;=90,"🟢 NORMAL",IF(IFERROR(Base_Datos!G58/(Base_Datos!P58/30),9999)&lt;=180,"🟡 SOBRESTOCK","🔴 STOCK MUERTO"))))</f>
        <v>🔴 STOCK MUERTO</v>
      </c>
      <c r="L55" s="20" t="str">
        <f aca="false">IF(F55&lt;7,"⚠ SÍ","—")</f>
        <v>—</v>
      </c>
      <c r="M55" s="40" t="str">
        <f aca="false">IF(E55&gt;=PERCENTILE($E$5:$E$79,0.8),"A",IF(E55&gt;=PERCENTILE($E$5:$E$79,0.5),"B","C"))</f>
        <v>B</v>
      </c>
      <c r="N55" s="41" t="n">
        <f aca="false">IFERROR(Base_Datos!O58/Base_Datos!O83,0)</f>
        <v>0.0161182409829086</v>
      </c>
      <c r="O55" s="42" t="str">
        <f aca="false">IF(F55&lt;7,"REPOSICIÓN URGENTE",IF(F55&lt;14,"Revisar orden de compra",IF(AND(F55&gt;180,J55&gt;60),"LIQUIDAR / DEVOLVER",IF(F55&gt;90,"Reducir próxima compra","Stock en niveles óptimos"))))</f>
        <v>Reducir próxima compra</v>
      </c>
      <c r="P55" s="20" t="n">
        <f aca="false">IF(F55&lt;7,1,IF(AND(F55&gt;180,J55&gt;60),2,IF(F55&lt;14,3,IF(F55&gt;90,4,5))))</f>
        <v>4</v>
      </c>
    </row>
    <row r="56" customFormat="false" ht="18" hidden="false" customHeight="true" outlineLevel="0" collapsed="false">
      <c r="A56" s="43" t="str">
        <f aca="false">Base_Datos!A59</f>
        <v>SKU-052</v>
      </c>
      <c r="B56" s="44" t="str">
        <f aca="false">Base_Datos!B59</f>
        <v>Jabón Líquido 300ml</v>
      </c>
      <c r="C56" s="45" t="str">
        <f aca="false">Base_Datos!C59</f>
        <v>Higiene Personal</v>
      </c>
      <c r="D56" s="45" t="n">
        <f aca="false">Base_Datos!G59</f>
        <v>31</v>
      </c>
      <c r="E56" s="46" t="n">
        <f aca="false">Base_Datos!P59</f>
        <v>16.5</v>
      </c>
      <c r="F56" s="47" t="n">
        <f aca="false">IFERROR(Base_Datos!G59/(Base_Datos!P59/30),9999)</f>
        <v>56.3636363636364</v>
      </c>
      <c r="G56" s="48" t="n">
        <f aca="false">IFERROR(Base_Datos!O59/Base_Datos!G59,0)</f>
        <v>3.19354838709677</v>
      </c>
      <c r="H56" s="49" t="n">
        <f aca="false">Base_Datos!S59</f>
        <v>139.5</v>
      </c>
      <c r="I56" s="45" t="n">
        <f aca="false">Base_Datos!H59</f>
        <v>5</v>
      </c>
      <c r="J56" s="45" t="n">
        <f aca="false">Base_Datos!R59</f>
        <v>55</v>
      </c>
      <c r="K56" s="50" t="str">
        <f aca="false">IF(IFERROR(Base_Datos!G59/(Base_Datos!P59/30),9999)&lt;7,"🔴 QUIEBRE",IF(IFERROR(Base_Datos!G59/(Base_Datos!P59/30),9999)&lt;14,"🟡 CRÍTICO",IF(IFERROR(Base_Datos!G59/(Base_Datos!P59/30),9999)&lt;=90,"🟢 NORMAL",IF(IFERROR(Base_Datos!G59/(Base_Datos!P59/30),9999)&lt;=180,"🟡 SOBRESTOCK","🔴 STOCK MUERTO"))))</f>
        <v>🟢 NORMAL</v>
      </c>
      <c r="L56" s="11" t="str">
        <f aca="false">IF(F56&lt;7,"⚠ SÍ","—")</f>
        <v>—</v>
      </c>
      <c r="M56" s="50" t="str">
        <f aca="false">IF(E56&gt;=PERCENTILE($E$5:$E$79,0.8),"A",IF(E56&gt;=PERCENTILE($E$5:$E$79,0.5),"B","C"))</f>
        <v>C</v>
      </c>
      <c r="N56" s="51" t="n">
        <f aca="false">IFERROR(Base_Datos!O59/Base_Datos!O83,0)</f>
        <v>0.00200717717900371</v>
      </c>
      <c r="O56" s="52" t="str">
        <f aca="false">IF(F56&lt;7,"REPOSICIÓN URGENTE",IF(F56&lt;14,"Revisar orden de compra",IF(AND(F56&gt;180,J56&gt;60),"LIQUIDAR / DEVOLVER",IF(F56&gt;90,"Reducir próxima compra","Stock en niveles óptimos"))))</f>
        <v>Stock en niveles óptimos</v>
      </c>
      <c r="P56" s="11" t="n">
        <f aca="false">IF(F56&lt;7,1,IF(AND(F56&gt;180,J56&gt;60),2,IF(F56&lt;14,3,IF(F56&gt;90,4,5))))</f>
        <v>5</v>
      </c>
    </row>
    <row r="57" customFormat="false" ht="18" hidden="false" customHeight="true" outlineLevel="0" collapsed="false">
      <c r="A57" s="33" t="str">
        <f aca="false">Base_Datos!A60</f>
        <v>SKU-053</v>
      </c>
      <c r="B57" s="34" t="str">
        <f aca="false">Base_Datos!B60</f>
        <v>Shampoo 400ml</v>
      </c>
      <c r="C57" s="35" t="str">
        <f aca="false">Base_Datos!C60</f>
        <v>Higiene Personal</v>
      </c>
      <c r="D57" s="35" t="n">
        <f aca="false">Base_Datos!G60</f>
        <v>91</v>
      </c>
      <c r="E57" s="36" t="n">
        <f aca="false">Base_Datos!P60</f>
        <v>47</v>
      </c>
      <c r="F57" s="37" t="n">
        <f aca="false">IFERROR(Base_Datos!G60/(Base_Datos!P60/30),9999)</f>
        <v>58.0851063829787</v>
      </c>
      <c r="G57" s="38" t="n">
        <f aca="false">IFERROR(Base_Datos!O60/Base_Datos!G60,0)</f>
        <v>3.0989010989011</v>
      </c>
      <c r="H57" s="39" t="n">
        <f aca="false">Base_Datos!S60</f>
        <v>527.8</v>
      </c>
      <c r="I57" s="35" t="n">
        <f aca="false">Base_Datos!H60</f>
        <v>11</v>
      </c>
      <c r="J57" s="35" t="n">
        <f aca="false">Base_Datos!R60</f>
        <v>7</v>
      </c>
      <c r="K57" s="40" t="str">
        <f aca="false">IF(IFERROR(Base_Datos!G60/(Base_Datos!P60/30),9999)&lt;7,"🔴 QUIEBRE",IF(IFERROR(Base_Datos!G60/(Base_Datos!P60/30),9999)&lt;14,"🟡 CRÍTICO",IF(IFERROR(Base_Datos!G60/(Base_Datos!P60/30),9999)&lt;=90,"🟢 NORMAL",IF(IFERROR(Base_Datos!G60/(Base_Datos!P60/30),9999)&lt;=180,"🟡 SOBRESTOCK","🔴 STOCK MUERTO"))))</f>
        <v>🟢 NORMAL</v>
      </c>
      <c r="L57" s="20" t="str">
        <f aca="false">IF(F57&lt;7,"⚠ SÍ","—")</f>
        <v>—</v>
      </c>
      <c r="M57" s="40" t="str">
        <f aca="false">IF(E57&gt;=PERCENTILE($E$5:$E$79,0.8),"A",IF(E57&gt;=PERCENTILE($E$5:$E$79,0.5),"B","C"))</f>
        <v>C</v>
      </c>
      <c r="N57" s="41" t="n">
        <f aca="false">IFERROR(Base_Datos!O60/Base_Datos!O83,0)</f>
        <v>0.00571741378261663</v>
      </c>
      <c r="O57" s="42" t="str">
        <f aca="false">IF(F57&lt;7,"REPOSICIÓN URGENTE",IF(F57&lt;14,"Revisar orden de compra",IF(AND(F57&gt;180,J57&gt;60),"LIQUIDAR / DEVOLVER",IF(F57&gt;90,"Reducir próxima compra","Stock en niveles óptimos"))))</f>
        <v>Stock en niveles óptimos</v>
      </c>
      <c r="P57" s="20" t="n">
        <f aca="false">IF(F57&lt;7,1,IF(AND(F57&gt;180,J57&gt;60),2,IF(F57&lt;14,3,IF(F57&gt;90,4,5))))</f>
        <v>5</v>
      </c>
    </row>
    <row r="58" customFormat="false" ht="18" hidden="false" customHeight="true" outlineLevel="0" collapsed="false">
      <c r="A58" s="43" t="str">
        <f aca="false">Base_Datos!A61</f>
        <v>SKU-054</v>
      </c>
      <c r="B58" s="44" t="str">
        <f aca="false">Base_Datos!B61</f>
        <v>Acondicionador 400ml</v>
      </c>
      <c r="C58" s="45" t="str">
        <f aca="false">Base_Datos!C61</f>
        <v>Higiene Personal</v>
      </c>
      <c r="D58" s="45" t="n">
        <f aca="false">Base_Datos!G61</f>
        <v>359</v>
      </c>
      <c r="E58" s="46" t="n">
        <f aca="false">Base_Datos!P61</f>
        <v>164</v>
      </c>
      <c r="F58" s="47" t="n">
        <f aca="false">IFERROR(Base_Datos!G61/(Base_Datos!P61/30),9999)</f>
        <v>65.6707317073171</v>
      </c>
      <c r="G58" s="48" t="n">
        <f aca="false">IFERROR(Base_Datos!O61/Base_Datos!G61,0)</f>
        <v>2.74094707520891</v>
      </c>
      <c r="H58" s="49" t="n">
        <f aca="false">Base_Datos!S61</f>
        <v>2082.2</v>
      </c>
      <c r="I58" s="45" t="n">
        <f aca="false">Base_Datos!H61</f>
        <v>48</v>
      </c>
      <c r="J58" s="45" t="n">
        <f aca="false">Base_Datos!R61</f>
        <v>4</v>
      </c>
      <c r="K58" s="50" t="str">
        <f aca="false">IF(IFERROR(Base_Datos!G61/(Base_Datos!P61/30),9999)&lt;7,"🔴 QUIEBRE",IF(IFERROR(Base_Datos!G61/(Base_Datos!P61/30),9999)&lt;14,"🟡 CRÍTICO",IF(IFERROR(Base_Datos!G61/(Base_Datos!P61/30),9999)&lt;=90,"🟢 NORMAL",IF(IFERROR(Base_Datos!G61/(Base_Datos!P61/30),9999)&lt;=180,"🟡 SOBRESTOCK","🔴 STOCK MUERTO"))))</f>
        <v>🟢 NORMAL</v>
      </c>
      <c r="L58" s="11" t="str">
        <f aca="false">IF(F58&lt;7,"⚠ SÍ","—")</f>
        <v>—</v>
      </c>
      <c r="M58" s="50" t="str">
        <f aca="false">IF(E58&gt;=PERCENTILE($E$5:$E$79,0.8),"A",IF(E58&gt;=PERCENTILE($E$5:$E$79,0.5),"B","C"))</f>
        <v>A</v>
      </c>
      <c r="N58" s="51" t="n">
        <f aca="false">IFERROR(Base_Datos!O61/Base_Datos!O83,0)</f>
        <v>0.0199501246882793</v>
      </c>
      <c r="O58" s="52" t="str">
        <f aca="false">IF(F58&lt;7,"REPOSICIÓN URGENTE",IF(F58&lt;14,"Revisar orden de compra",IF(AND(F58&gt;180,J58&gt;60),"LIQUIDAR / DEVOLVER",IF(F58&gt;90,"Reducir próxima compra","Stock en niveles óptimos"))))</f>
        <v>Stock en niveles óptimos</v>
      </c>
      <c r="P58" s="11" t="n">
        <f aca="false">IF(F58&lt;7,1,IF(AND(F58&gt;180,J58&gt;60),2,IF(F58&lt;14,3,IF(F58&gt;90,4,5))))</f>
        <v>5</v>
      </c>
    </row>
    <row r="59" customFormat="false" ht="18" hidden="false" customHeight="true" outlineLevel="0" collapsed="false">
      <c r="A59" s="33" t="str">
        <f aca="false">Base_Datos!A62</f>
        <v>SKU-055</v>
      </c>
      <c r="B59" s="34" t="str">
        <f aca="false">Base_Datos!B62</f>
        <v>Pasta Dental 90g</v>
      </c>
      <c r="C59" s="35" t="str">
        <f aca="false">Base_Datos!C62</f>
        <v>Higiene Personal</v>
      </c>
      <c r="D59" s="35" t="n">
        <f aca="false">Base_Datos!G62</f>
        <v>20</v>
      </c>
      <c r="E59" s="36" t="n">
        <f aca="false">Base_Datos!P62</f>
        <v>307.166666666667</v>
      </c>
      <c r="F59" s="37" t="n">
        <f aca="false">IFERROR(Base_Datos!G62/(Base_Datos!P62/30),9999)</f>
        <v>1.95333695062398</v>
      </c>
      <c r="G59" s="38" t="n">
        <f aca="false">IFERROR(Base_Datos!O62/Base_Datos!G62,0)</f>
        <v>92.15</v>
      </c>
      <c r="H59" s="39" t="n">
        <f aca="false">Base_Datos!S62</f>
        <v>48</v>
      </c>
      <c r="I59" s="35" t="n">
        <f aca="false">Base_Datos!H62</f>
        <v>77</v>
      </c>
      <c r="J59" s="35" t="n">
        <f aca="false">Base_Datos!R62</f>
        <v>21</v>
      </c>
      <c r="K59" s="40" t="str">
        <f aca="false">IF(IFERROR(Base_Datos!G62/(Base_Datos!P62/30),9999)&lt;7,"🔴 QUIEBRE",IF(IFERROR(Base_Datos!G62/(Base_Datos!P62/30),9999)&lt;14,"🟡 CRÍTICO",IF(IFERROR(Base_Datos!G62/(Base_Datos!P62/30),9999)&lt;=90,"🟢 NORMAL",IF(IFERROR(Base_Datos!G62/(Base_Datos!P62/30),9999)&lt;=180,"🟡 SOBRESTOCK","🔴 STOCK MUERTO"))))</f>
        <v>🔴 QUIEBRE</v>
      </c>
      <c r="L59" s="20" t="str">
        <f aca="false">IF(F59&lt;7,"⚠ SÍ","—")</f>
        <v>⚠ SÍ</v>
      </c>
      <c r="M59" s="40" t="str">
        <f aca="false">IF(E59&gt;=PERCENTILE($E$5:$E$79,0.8),"A",IF(E59&gt;=PERCENTILE($E$5:$E$79,0.5),"B","C"))</f>
        <v>A</v>
      </c>
      <c r="N59" s="41" t="n">
        <f aca="false">IFERROR(Base_Datos!O62/Base_Datos!O83,0)</f>
        <v>0.0373659347566044</v>
      </c>
      <c r="O59" s="42" t="str">
        <f aca="false">IF(F59&lt;7,"REPOSICIÓN URGENTE",IF(F59&lt;14,"Revisar orden de compra",IF(AND(F59&gt;180,J59&gt;60),"LIQUIDAR / DEVOLVER",IF(F59&gt;90,"Reducir próxima compra","Stock en niveles óptimos"))))</f>
        <v>REPOSICIÓN URGENTE</v>
      </c>
      <c r="P59" s="20" t="n">
        <f aca="false">IF(F59&lt;7,1,IF(AND(F59&gt;180,J59&gt;60),2,IF(F59&lt;14,3,IF(F59&gt;90,4,5))))</f>
        <v>1</v>
      </c>
    </row>
    <row r="60" customFormat="false" ht="18" hidden="false" customHeight="true" outlineLevel="0" collapsed="false">
      <c r="A60" s="43" t="str">
        <f aca="false">Base_Datos!A63</f>
        <v>SKU-056</v>
      </c>
      <c r="B60" s="44" t="str">
        <f aca="false">Base_Datos!B63</f>
        <v>Pasta Dental 150g</v>
      </c>
      <c r="C60" s="45" t="str">
        <f aca="false">Base_Datos!C63</f>
        <v>Higiene Personal</v>
      </c>
      <c r="D60" s="45" t="n">
        <f aca="false">Base_Datos!G63</f>
        <v>230</v>
      </c>
      <c r="E60" s="46" t="n">
        <f aca="false">Base_Datos!P63</f>
        <v>108.166666666667</v>
      </c>
      <c r="F60" s="47" t="n">
        <f aca="false">IFERROR(Base_Datos!G63/(Base_Datos!P63/30),9999)</f>
        <v>63.7904468412943</v>
      </c>
      <c r="G60" s="48" t="n">
        <f aca="false">IFERROR(Base_Datos!O63/Base_Datos!G63,0)</f>
        <v>2.82173913043478</v>
      </c>
      <c r="H60" s="49" t="n">
        <f aca="false">Base_Datos!S63</f>
        <v>874</v>
      </c>
      <c r="I60" s="45" t="n">
        <f aca="false">Base_Datos!H63</f>
        <v>21</v>
      </c>
      <c r="J60" s="45" t="n">
        <f aca="false">Base_Datos!R63</f>
        <v>14</v>
      </c>
      <c r="K60" s="50" t="str">
        <f aca="false">IF(IFERROR(Base_Datos!G63/(Base_Datos!P63/30),9999)&lt;7,"🔴 QUIEBRE",IF(IFERROR(Base_Datos!G63/(Base_Datos!P63/30),9999)&lt;14,"🟡 CRÍTICO",IF(IFERROR(Base_Datos!G63/(Base_Datos!P63/30),9999)&lt;=90,"🟢 NORMAL",IF(IFERROR(Base_Datos!G63/(Base_Datos!P63/30),9999)&lt;=180,"🟡 SOBRESTOCK","🔴 STOCK MUERTO"))))</f>
        <v>🟢 NORMAL</v>
      </c>
      <c r="L60" s="11" t="str">
        <f aca="false">IF(F60&lt;7,"⚠ SÍ","—")</f>
        <v>—</v>
      </c>
      <c r="M60" s="50" t="str">
        <f aca="false">IF(E60&gt;=PERCENTILE($E$5:$E$79,0.8),"A",IF(E60&gt;=PERCENTILE($E$5:$E$79,0.5),"B","C"))</f>
        <v>B</v>
      </c>
      <c r="N60" s="51" t="n">
        <f aca="false">IFERROR(Base_Datos!O63/Base_Datos!O83,0)</f>
        <v>0.0131581615068021</v>
      </c>
      <c r="O60" s="52" t="str">
        <f aca="false">IF(F60&lt;7,"REPOSICIÓN URGENTE",IF(F60&lt;14,"Revisar orden de compra",IF(AND(F60&gt;180,J60&gt;60),"LIQUIDAR / DEVOLVER",IF(F60&gt;90,"Reducir próxima compra","Stock en niveles óptimos"))))</f>
        <v>Stock en niveles óptimos</v>
      </c>
      <c r="P60" s="11" t="n">
        <f aca="false">IF(F60&lt;7,1,IF(AND(F60&gt;180,J60&gt;60),2,IF(F60&lt;14,3,IF(F60&gt;90,4,5))))</f>
        <v>5</v>
      </c>
    </row>
    <row r="61" customFormat="false" ht="18" hidden="false" customHeight="true" outlineLevel="0" collapsed="false">
      <c r="A61" s="33" t="str">
        <f aca="false">Base_Datos!A64</f>
        <v>SKU-057</v>
      </c>
      <c r="B61" s="34" t="str">
        <f aca="false">Base_Datos!B64</f>
        <v>Cepillo de Dientes x2</v>
      </c>
      <c r="C61" s="35" t="str">
        <f aca="false">Base_Datos!C64</f>
        <v>Higiene Personal</v>
      </c>
      <c r="D61" s="35" t="n">
        <f aca="false">Base_Datos!G64</f>
        <v>678</v>
      </c>
      <c r="E61" s="36" t="n">
        <f aca="false">Base_Datos!P64</f>
        <v>125.5</v>
      </c>
      <c r="F61" s="37" t="n">
        <f aca="false">IFERROR(Base_Datos!G64/(Base_Datos!P64/30),9999)</f>
        <v>162.07171314741</v>
      </c>
      <c r="G61" s="38" t="n">
        <f aca="false">IFERROR(Base_Datos!O64/Base_Datos!G64,0)</f>
        <v>1.11061946902655</v>
      </c>
      <c r="H61" s="39" t="n">
        <f aca="false">Base_Datos!S64</f>
        <v>2440.8</v>
      </c>
      <c r="I61" s="35" t="n">
        <f aca="false">Base_Datos!H64</f>
        <v>35</v>
      </c>
      <c r="J61" s="35" t="n">
        <f aca="false">Base_Datos!R64</f>
        <v>15</v>
      </c>
      <c r="K61" s="40" t="str">
        <f aca="false">IF(IFERROR(Base_Datos!G64/(Base_Datos!P64/30),9999)&lt;7,"🔴 QUIEBRE",IF(IFERROR(Base_Datos!G64/(Base_Datos!P64/30),9999)&lt;14,"🟡 CRÍTICO",IF(IFERROR(Base_Datos!G64/(Base_Datos!P64/30),9999)&lt;=90,"🟢 NORMAL",IF(IFERROR(Base_Datos!G64/(Base_Datos!P64/30),9999)&lt;=180,"🟡 SOBRESTOCK","🔴 STOCK MUERTO"))))</f>
        <v>🟡 SOBRESTOCK</v>
      </c>
      <c r="L61" s="20" t="str">
        <f aca="false">IF(F61&lt;7,"⚠ SÍ","—")</f>
        <v>—</v>
      </c>
      <c r="M61" s="40" t="str">
        <f aca="false">IF(E61&gt;=PERCENTILE($E$5:$E$79,0.8),"A",IF(E61&gt;=PERCENTILE($E$5:$E$79,0.5),"B","C"))</f>
        <v>B</v>
      </c>
      <c r="N61" s="41" t="n">
        <f aca="false">IFERROR(Base_Datos!O64/Base_Datos!O83,0)</f>
        <v>0.015266711270604</v>
      </c>
      <c r="O61" s="42" t="str">
        <f aca="false">IF(F61&lt;7,"REPOSICIÓN URGENTE",IF(F61&lt;14,"Revisar orden de compra",IF(AND(F61&gt;180,J61&gt;60),"LIQUIDAR / DEVOLVER",IF(F61&gt;90,"Reducir próxima compra","Stock en niveles óptimos"))))</f>
        <v>Reducir próxima compra</v>
      </c>
      <c r="P61" s="20" t="n">
        <f aca="false">IF(F61&lt;7,1,IF(AND(F61&gt;180,J61&gt;60),2,IF(F61&lt;14,3,IF(F61&gt;90,4,5))))</f>
        <v>4</v>
      </c>
    </row>
    <row r="62" customFormat="false" ht="18" hidden="false" customHeight="true" outlineLevel="0" collapsed="false">
      <c r="A62" s="43" t="str">
        <f aca="false">Base_Datos!A65</f>
        <v>SKU-058</v>
      </c>
      <c r="B62" s="44" t="str">
        <f aca="false">Base_Datos!B65</f>
        <v>Desodorante Roll-On 65ml</v>
      </c>
      <c r="C62" s="45" t="str">
        <f aca="false">Base_Datos!C65</f>
        <v>Higiene Personal</v>
      </c>
      <c r="D62" s="45" t="n">
        <f aca="false">Base_Datos!G65</f>
        <v>139</v>
      </c>
      <c r="E62" s="46" t="n">
        <f aca="false">Base_Datos!P65</f>
        <v>86</v>
      </c>
      <c r="F62" s="47" t="n">
        <f aca="false">IFERROR(Base_Datos!G65/(Base_Datos!P65/30),9999)</f>
        <v>48.4883720930233</v>
      </c>
      <c r="G62" s="48" t="n">
        <f aca="false">IFERROR(Base_Datos!O65/Base_Datos!G65,0)</f>
        <v>3.71223021582734</v>
      </c>
      <c r="H62" s="49" t="n">
        <f aca="false">Base_Datos!S65</f>
        <v>542.1</v>
      </c>
      <c r="I62" s="45" t="n">
        <f aca="false">Base_Datos!H65</f>
        <v>18</v>
      </c>
      <c r="J62" s="45" t="n">
        <f aca="false">Base_Datos!R65</f>
        <v>24</v>
      </c>
      <c r="K62" s="50" t="str">
        <f aca="false">IF(IFERROR(Base_Datos!G65/(Base_Datos!P65/30),9999)&lt;7,"🔴 QUIEBRE",IF(IFERROR(Base_Datos!G65/(Base_Datos!P65/30),9999)&lt;14,"🟡 CRÍTICO",IF(IFERROR(Base_Datos!G65/(Base_Datos!P65/30),9999)&lt;=90,"🟢 NORMAL",IF(IFERROR(Base_Datos!G65/(Base_Datos!P65/30),9999)&lt;=180,"🟡 SOBRESTOCK","🔴 STOCK MUERTO"))))</f>
        <v>🟢 NORMAL</v>
      </c>
      <c r="L62" s="11" t="str">
        <f aca="false">IF(F62&lt;7,"⚠ SÍ","—")</f>
        <v>—</v>
      </c>
      <c r="M62" s="50" t="str">
        <f aca="false">IF(E62&gt;=PERCENTILE($E$5:$E$79,0.8),"A",IF(E62&gt;=PERCENTILE($E$5:$E$79,0.5),"B","C"))</f>
        <v>C</v>
      </c>
      <c r="N62" s="51" t="n">
        <f aca="false">IFERROR(Base_Datos!O65/Base_Datos!O83,0)</f>
        <v>0.0104616507511709</v>
      </c>
      <c r="O62" s="52" t="str">
        <f aca="false">IF(F62&lt;7,"REPOSICIÓN URGENTE",IF(F62&lt;14,"Revisar orden de compra",IF(AND(F62&gt;180,J62&gt;60),"LIQUIDAR / DEVOLVER",IF(F62&gt;90,"Reducir próxima compra","Stock en niveles óptimos"))))</f>
        <v>Stock en niveles óptimos</v>
      </c>
      <c r="P62" s="11" t="n">
        <f aca="false">IF(F62&lt;7,1,IF(AND(F62&gt;180,J62&gt;60),2,IF(F62&lt;14,3,IF(F62&gt;90,4,5))))</f>
        <v>5</v>
      </c>
    </row>
    <row r="63" customFormat="false" ht="18" hidden="false" customHeight="true" outlineLevel="0" collapsed="false">
      <c r="A63" s="33" t="str">
        <f aca="false">Base_Datos!A66</f>
        <v>SKU-059</v>
      </c>
      <c r="B63" s="34" t="str">
        <f aca="false">Base_Datos!B66</f>
        <v>Desodorante Aerosol 150ml</v>
      </c>
      <c r="C63" s="35" t="str">
        <f aca="false">Base_Datos!C66</f>
        <v>Higiene Personal</v>
      </c>
      <c r="D63" s="35" t="n">
        <f aca="false">Base_Datos!G66</f>
        <v>194</v>
      </c>
      <c r="E63" s="36" t="n">
        <f aca="false">Base_Datos!P66</f>
        <v>110</v>
      </c>
      <c r="F63" s="37" t="n">
        <f aca="false">IFERROR(Base_Datos!G66/(Base_Datos!P66/30),9999)</f>
        <v>52.9090909090909</v>
      </c>
      <c r="G63" s="38" t="n">
        <f aca="false">IFERROR(Base_Datos!O66/Base_Datos!G66,0)</f>
        <v>3.4020618556701</v>
      </c>
      <c r="H63" s="39" t="n">
        <f aca="false">Base_Datos!S66</f>
        <v>1008.8</v>
      </c>
      <c r="I63" s="35" t="n">
        <f aca="false">Base_Datos!H66</f>
        <v>27</v>
      </c>
      <c r="J63" s="35" t="n">
        <f aca="false">Base_Datos!R66</f>
        <v>11</v>
      </c>
      <c r="K63" s="40" t="str">
        <f aca="false">IF(IFERROR(Base_Datos!G66/(Base_Datos!P66/30),9999)&lt;7,"🔴 QUIEBRE",IF(IFERROR(Base_Datos!G66/(Base_Datos!P66/30),9999)&lt;14,"🟡 CRÍTICO",IF(IFERROR(Base_Datos!G66/(Base_Datos!P66/30),9999)&lt;=90,"🟢 NORMAL",IF(IFERROR(Base_Datos!G66/(Base_Datos!P66/30),9999)&lt;=180,"🟡 SOBRESTOCK","🔴 STOCK MUERTO"))))</f>
        <v>🟢 NORMAL</v>
      </c>
      <c r="L63" s="20" t="str">
        <f aca="false">IF(F63&lt;7,"⚠ SÍ","—")</f>
        <v>—</v>
      </c>
      <c r="M63" s="40" t="str">
        <f aca="false">IF(E63&gt;=PERCENTILE($E$5:$E$79,0.8),"A",IF(E63&gt;=PERCENTILE($E$5:$E$79,0.5),"B","C"))</f>
        <v>B</v>
      </c>
      <c r="N63" s="41" t="n">
        <f aca="false">IFERROR(Base_Datos!O66/Base_Datos!O83,0)</f>
        <v>0.0133811811933581</v>
      </c>
      <c r="O63" s="42" t="str">
        <f aca="false">IF(F63&lt;7,"REPOSICIÓN URGENTE",IF(F63&lt;14,"Revisar orden de compra",IF(AND(F63&gt;180,J63&gt;60),"LIQUIDAR / DEVOLVER",IF(F63&gt;90,"Reducir próxima compra","Stock en niveles óptimos"))))</f>
        <v>Stock en niveles óptimos</v>
      </c>
      <c r="P63" s="20" t="n">
        <f aca="false">IF(F63&lt;7,1,IF(AND(F63&gt;180,J63&gt;60),2,IF(F63&lt;14,3,IF(F63&gt;90,4,5))))</f>
        <v>5</v>
      </c>
    </row>
    <row r="64" customFormat="false" ht="18" hidden="false" customHeight="true" outlineLevel="0" collapsed="false">
      <c r="A64" s="43" t="str">
        <f aca="false">Base_Datos!A67</f>
        <v>SKU-060</v>
      </c>
      <c r="B64" s="44" t="str">
        <f aca="false">Base_Datos!B67</f>
        <v>Crema Corporal 200ml</v>
      </c>
      <c r="C64" s="45" t="str">
        <f aca="false">Base_Datos!C67</f>
        <v>Higiene Personal</v>
      </c>
      <c r="D64" s="45" t="n">
        <f aca="false">Base_Datos!G67</f>
        <v>7</v>
      </c>
      <c r="E64" s="46" t="n">
        <f aca="false">Base_Datos!P67</f>
        <v>4.33333333333333</v>
      </c>
      <c r="F64" s="47" t="n">
        <f aca="false">IFERROR(Base_Datos!G67/(Base_Datos!P67/30),9999)</f>
        <v>48.4615384615385</v>
      </c>
      <c r="G64" s="48" t="n">
        <f aca="false">IFERROR(Base_Datos!O67/Base_Datos!G67,0)</f>
        <v>3.71428571428571</v>
      </c>
      <c r="H64" s="49" t="n">
        <f aca="false">Base_Datos!S67</f>
        <v>44.8</v>
      </c>
      <c r="I64" s="45" t="n">
        <f aca="false">Base_Datos!H67</f>
        <v>5</v>
      </c>
      <c r="J64" s="45" t="n">
        <f aca="false">Base_Datos!R67</f>
        <v>52</v>
      </c>
      <c r="K64" s="50" t="str">
        <f aca="false">IF(IFERROR(Base_Datos!G67/(Base_Datos!P67/30),9999)&lt;7,"🔴 QUIEBRE",IF(IFERROR(Base_Datos!G67/(Base_Datos!P67/30),9999)&lt;14,"🟡 CRÍTICO",IF(IFERROR(Base_Datos!G67/(Base_Datos!P67/30),9999)&lt;=90,"🟢 NORMAL",IF(IFERROR(Base_Datos!G67/(Base_Datos!P67/30),9999)&lt;=180,"🟡 SOBRESTOCK","🔴 STOCK MUERTO"))))</f>
        <v>🟢 NORMAL</v>
      </c>
      <c r="L64" s="11" t="str">
        <f aca="false">IF(F64&lt;7,"⚠ SÍ","—")</f>
        <v>—</v>
      </c>
      <c r="M64" s="50" t="str">
        <f aca="false">IF(E64&gt;=PERCENTILE($E$5:$E$79,0.8),"A",IF(E64&gt;=PERCENTILE($E$5:$E$79,0.5),"B","C"))</f>
        <v>C</v>
      </c>
      <c r="N64" s="51" t="n">
        <f aca="false">IFERROR(Base_Datos!O67/Base_Datos!O83,0)</f>
        <v>0.000527137440950469</v>
      </c>
      <c r="O64" s="52" t="str">
        <f aca="false">IF(F64&lt;7,"REPOSICIÓN URGENTE",IF(F64&lt;14,"Revisar orden de compra",IF(AND(F64&gt;180,J64&gt;60),"LIQUIDAR / DEVOLVER",IF(F64&gt;90,"Reducir próxima compra","Stock en niveles óptimos"))))</f>
        <v>Stock en niveles óptimos</v>
      </c>
      <c r="P64" s="11" t="n">
        <f aca="false">IF(F64&lt;7,1,IF(AND(F64&gt;180,J64&gt;60),2,IF(F64&lt;14,3,IF(F64&gt;90,4,5))))</f>
        <v>5</v>
      </c>
    </row>
    <row r="65" customFormat="false" ht="18" hidden="false" customHeight="true" outlineLevel="0" collapsed="false">
      <c r="A65" s="33" t="str">
        <f aca="false">Base_Datos!A68</f>
        <v>SKU-061</v>
      </c>
      <c r="B65" s="34" t="str">
        <f aca="false">Base_Datos!B68</f>
        <v>Crema de Manos 100ml</v>
      </c>
      <c r="C65" s="35" t="str">
        <f aca="false">Base_Datos!C68</f>
        <v>Higiene Personal</v>
      </c>
      <c r="D65" s="35" t="n">
        <f aca="false">Base_Datos!G68</f>
        <v>205</v>
      </c>
      <c r="E65" s="36" t="n">
        <f aca="false">Base_Datos!P68</f>
        <v>1.5</v>
      </c>
      <c r="F65" s="37" t="n">
        <f aca="false">IFERROR(Base_Datos!G68/(Base_Datos!P68/30),9999)</f>
        <v>4100</v>
      </c>
      <c r="G65" s="38" t="n">
        <f aca="false">IFERROR(Base_Datos!O68/Base_Datos!G68,0)</f>
        <v>0.0439024390243902</v>
      </c>
      <c r="H65" s="39" t="n">
        <f aca="false">Base_Datos!S68</f>
        <v>779</v>
      </c>
      <c r="I65" s="35" t="n">
        <f aca="false">Base_Datos!H68</f>
        <v>5</v>
      </c>
      <c r="J65" s="35" t="n">
        <f aca="false">Base_Datos!R68</f>
        <v>81</v>
      </c>
      <c r="K65" s="40" t="str">
        <f aca="false">IF(IFERROR(Base_Datos!G68/(Base_Datos!P68/30),9999)&lt;7,"🔴 QUIEBRE",IF(IFERROR(Base_Datos!G68/(Base_Datos!P68/30),9999)&lt;14,"🟡 CRÍTICO",IF(IFERROR(Base_Datos!G68/(Base_Datos!P68/30),9999)&lt;=90,"🟢 NORMAL",IF(IFERROR(Base_Datos!G68/(Base_Datos!P68/30),9999)&lt;=180,"🟡 SOBRESTOCK","🔴 STOCK MUERTO"))))</f>
        <v>🔴 STOCK MUERTO</v>
      </c>
      <c r="L65" s="20" t="str">
        <f aca="false">IF(F65&lt;7,"⚠ SÍ","—")</f>
        <v>—</v>
      </c>
      <c r="M65" s="40" t="str">
        <f aca="false">IF(E65&gt;=PERCENTILE($E$5:$E$79,0.8),"A",IF(E65&gt;=PERCENTILE($E$5:$E$79,0.5),"B","C"))</f>
        <v>C</v>
      </c>
      <c r="N65" s="41" t="n">
        <f aca="false">IFERROR(Base_Datos!O68/Base_Datos!O83,0)</f>
        <v>0.000182470652636701</v>
      </c>
      <c r="O65" s="42" t="str">
        <f aca="false">IF(F65&lt;7,"REPOSICIÓN URGENTE",IF(F65&lt;14,"Revisar orden de compra",IF(AND(F65&gt;180,J65&gt;60),"LIQUIDAR / DEVOLVER",IF(F65&gt;90,"Reducir próxima compra","Stock en niveles óptimos"))))</f>
        <v>LIQUIDAR / DEVOLVER</v>
      </c>
      <c r="P65" s="20" t="n">
        <f aca="false">IF(F65&lt;7,1,IF(AND(F65&gt;180,J65&gt;60),2,IF(F65&lt;14,3,IF(F65&gt;90,4,5))))</f>
        <v>2</v>
      </c>
    </row>
    <row r="66" customFormat="false" ht="18" hidden="false" customHeight="true" outlineLevel="0" collapsed="false">
      <c r="A66" s="43" t="str">
        <f aca="false">Base_Datos!A69</f>
        <v>SKU-062</v>
      </c>
      <c r="B66" s="44" t="str">
        <f aca="false">Base_Datos!B69</f>
        <v>Protector Solar FPS50 150ml</v>
      </c>
      <c r="C66" s="45" t="str">
        <f aca="false">Base_Datos!C69</f>
        <v>Higiene Personal</v>
      </c>
      <c r="D66" s="45" t="n">
        <f aca="false">Base_Datos!G69</f>
        <v>175</v>
      </c>
      <c r="E66" s="46" t="n">
        <f aca="false">Base_Datos!P69</f>
        <v>139.333333333333</v>
      </c>
      <c r="F66" s="47" t="n">
        <f aca="false">IFERROR(Base_Datos!G69/(Base_Datos!P69/30),9999)</f>
        <v>37.6794258373206</v>
      </c>
      <c r="G66" s="48" t="n">
        <f aca="false">IFERROR(Base_Datos!O69/Base_Datos!G69,0)</f>
        <v>4.77714285714286</v>
      </c>
      <c r="H66" s="49" t="n">
        <f aca="false">Base_Datos!S69</f>
        <v>1557.5</v>
      </c>
      <c r="I66" s="45" t="n">
        <f aca="false">Base_Datos!H69</f>
        <v>26</v>
      </c>
      <c r="J66" s="45" t="n">
        <f aca="false">Base_Datos!R69</f>
        <v>4</v>
      </c>
      <c r="K66" s="50" t="str">
        <f aca="false">IF(IFERROR(Base_Datos!G69/(Base_Datos!P69/30),9999)&lt;7,"🔴 QUIEBRE",IF(IFERROR(Base_Datos!G69/(Base_Datos!P69/30),9999)&lt;14,"🟡 CRÍTICO",IF(IFERROR(Base_Datos!G69/(Base_Datos!P69/30),9999)&lt;=90,"🟢 NORMAL",IF(IFERROR(Base_Datos!G69/(Base_Datos!P69/30),9999)&lt;=180,"🟡 SOBRESTOCK","🔴 STOCK MUERTO"))))</f>
        <v>🟢 NORMAL</v>
      </c>
      <c r="L66" s="11" t="str">
        <f aca="false">IF(F66&lt;7,"⚠ SÍ","—")</f>
        <v>—</v>
      </c>
      <c r="M66" s="50" t="str">
        <f aca="false">IF(E66&gt;=PERCENTILE($E$5:$E$79,0.8),"A",IF(E66&gt;=PERCENTILE($E$5:$E$79,0.5),"B","C"))</f>
        <v>B</v>
      </c>
      <c r="N66" s="51" t="n">
        <f aca="false">IFERROR(Base_Datos!O69/Base_Datos!O83,0)</f>
        <v>0.0169494961782536</v>
      </c>
      <c r="O66" s="52" t="str">
        <f aca="false">IF(F66&lt;7,"REPOSICIÓN URGENTE",IF(F66&lt;14,"Revisar orden de compra",IF(AND(F66&gt;180,J66&gt;60),"LIQUIDAR / DEVOLVER",IF(F66&gt;90,"Reducir próxima compra","Stock en niveles óptimos"))))</f>
        <v>Stock en niveles óptimos</v>
      </c>
      <c r="P66" s="11" t="n">
        <f aca="false">IF(F66&lt;7,1,IF(AND(F66&gt;180,J66&gt;60),2,IF(F66&lt;14,3,IF(F66&gt;90,4,5))))</f>
        <v>5</v>
      </c>
    </row>
    <row r="67" customFormat="false" ht="18" hidden="false" customHeight="true" outlineLevel="0" collapsed="false">
      <c r="A67" s="33" t="str">
        <f aca="false">Base_Datos!A70</f>
        <v>SKU-063</v>
      </c>
      <c r="B67" s="34" t="str">
        <f aca="false">Base_Datos!B70</f>
        <v>Papel Higiénico Húmedo x40</v>
      </c>
      <c r="C67" s="35" t="str">
        <f aca="false">Base_Datos!C70</f>
        <v>Higiene Personal</v>
      </c>
      <c r="D67" s="35" t="n">
        <f aca="false">Base_Datos!G70</f>
        <v>498</v>
      </c>
      <c r="E67" s="36" t="n">
        <f aca="false">Base_Datos!P70</f>
        <v>96</v>
      </c>
      <c r="F67" s="37" t="n">
        <f aca="false">IFERROR(Base_Datos!G70/(Base_Datos!P70/30),9999)</f>
        <v>155.625</v>
      </c>
      <c r="G67" s="38" t="n">
        <f aca="false">IFERROR(Base_Datos!O70/Base_Datos!G70,0)</f>
        <v>1.1566265060241</v>
      </c>
      <c r="H67" s="39" t="n">
        <f aca="false">Base_Datos!S70</f>
        <v>2091.6</v>
      </c>
      <c r="I67" s="35" t="n">
        <f aca="false">Base_Datos!H70</f>
        <v>22</v>
      </c>
      <c r="J67" s="35" t="n">
        <f aca="false">Base_Datos!R70</f>
        <v>25</v>
      </c>
      <c r="K67" s="40" t="str">
        <f aca="false">IF(IFERROR(Base_Datos!G70/(Base_Datos!P70/30),9999)&lt;7,"🔴 QUIEBRE",IF(IFERROR(Base_Datos!G70/(Base_Datos!P70/30),9999)&lt;14,"🟡 CRÍTICO",IF(IFERROR(Base_Datos!G70/(Base_Datos!P70/30),9999)&lt;=90,"🟢 NORMAL",IF(IFERROR(Base_Datos!G70/(Base_Datos!P70/30),9999)&lt;=180,"🟡 SOBRESTOCK","🔴 STOCK MUERTO"))))</f>
        <v>🟡 SOBRESTOCK</v>
      </c>
      <c r="L67" s="20" t="str">
        <f aca="false">IF(F67&lt;7,"⚠ SÍ","—")</f>
        <v>—</v>
      </c>
      <c r="M67" s="40" t="str">
        <f aca="false">IF(E67&gt;=PERCENTILE($E$5:$E$79,0.8),"A",IF(E67&gt;=PERCENTILE($E$5:$E$79,0.5),"B","C"))</f>
        <v>C</v>
      </c>
      <c r="N67" s="41" t="n">
        <f aca="false">IFERROR(Base_Datos!O70/Base_Datos!O83,0)</f>
        <v>0.0116781217687489</v>
      </c>
      <c r="O67" s="42" t="str">
        <f aca="false">IF(F67&lt;7,"REPOSICIÓN URGENTE",IF(F67&lt;14,"Revisar orden de compra",IF(AND(F67&gt;180,J67&gt;60),"LIQUIDAR / DEVOLVER",IF(F67&gt;90,"Reducir próxima compra","Stock en niveles óptimos"))))</f>
        <v>Reducir próxima compra</v>
      </c>
      <c r="P67" s="20" t="n">
        <f aca="false">IF(F67&lt;7,1,IF(AND(F67&gt;180,J67&gt;60),2,IF(F67&lt;14,3,IF(F67&gt;90,4,5))))</f>
        <v>4</v>
      </c>
    </row>
    <row r="68" customFormat="false" ht="18" hidden="false" customHeight="true" outlineLevel="0" collapsed="false">
      <c r="A68" s="43" t="str">
        <f aca="false">Base_Datos!A71</f>
        <v>SKU-064</v>
      </c>
      <c r="B68" s="44" t="str">
        <f aca="false">Base_Datos!B71</f>
        <v>Algodón 100g</v>
      </c>
      <c r="C68" s="45" t="str">
        <f aca="false">Base_Datos!C71</f>
        <v>Higiene Personal</v>
      </c>
      <c r="D68" s="45" t="n">
        <f aca="false">Base_Datos!G71</f>
        <v>368</v>
      </c>
      <c r="E68" s="46" t="n">
        <f aca="false">Base_Datos!P71</f>
        <v>183.833333333333</v>
      </c>
      <c r="F68" s="47" t="n">
        <f aca="false">IFERROR(Base_Datos!G71/(Base_Datos!P71/30),9999)</f>
        <v>60.0543970988214</v>
      </c>
      <c r="G68" s="48" t="n">
        <f aca="false">IFERROR(Base_Datos!O71/Base_Datos!G71,0)</f>
        <v>2.99728260869565</v>
      </c>
      <c r="H68" s="49" t="n">
        <f aca="false">Base_Datos!S71</f>
        <v>772.8</v>
      </c>
      <c r="I68" s="45" t="n">
        <f aca="false">Base_Datos!H71</f>
        <v>31</v>
      </c>
      <c r="J68" s="45" t="n">
        <f aca="false">Base_Datos!R71</f>
        <v>2</v>
      </c>
      <c r="K68" s="50" t="str">
        <f aca="false">IF(IFERROR(Base_Datos!G71/(Base_Datos!P71/30),9999)&lt;7,"🔴 QUIEBRE",IF(IFERROR(Base_Datos!G71/(Base_Datos!P71/30),9999)&lt;14,"🟡 CRÍTICO",IF(IFERROR(Base_Datos!G71/(Base_Datos!P71/30),9999)&lt;=90,"🟢 NORMAL",IF(IFERROR(Base_Datos!G71/(Base_Datos!P71/30),9999)&lt;=180,"🟡 SOBRESTOCK","🔴 STOCK MUERTO"))))</f>
        <v>🟢 NORMAL</v>
      </c>
      <c r="L68" s="11" t="str">
        <f aca="false">IF(F68&lt;7,"⚠ SÍ","—")</f>
        <v>—</v>
      </c>
      <c r="M68" s="50" t="str">
        <f aca="false">IF(E68&gt;=PERCENTILE($E$5:$E$79,0.8),"A",IF(E68&gt;=PERCENTILE($E$5:$E$79,0.5),"B","C"))</f>
        <v>A</v>
      </c>
      <c r="N68" s="51" t="n">
        <f aca="false">IFERROR(Base_Datos!O71/Base_Datos!O83,0)</f>
        <v>0.0223627922064757</v>
      </c>
      <c r="O68" s="52" t="str">
        <f aca="false">IF(F68&lt;7,"REPOSICIÓN URGENTE",IF(F68&lt;14,"Revisar orden de compra",IF(AND(F68&gt;180,J68&gt;60),"LIQUIDAR / DEVOLVER",IF(F68&gt;90,"Reducir próxima compra","Stock en niveles óptimos"))))</f>
        <v>Stock en niveles óptimos</v>
      </c>
      <c r="P68" s="11" t="n">
        <f aca="false">IF(F68&lt;7,1,IF(AND(F68&gt;180,J68&gt;60),2,IF(F68&lt;14,3,IF(F68&gt;90,4,5))))</f>
        <v>5</v>
      </c>
    </row>
    <row r="69" customFormat="false" ht="18" hidden="false" customHeight="true" outlineLevel="0" collapsed="false">
      <c r="A69" s="33" t="str">
        <f aca="false">Base_Datos!A72</f>
        <v>SKU-065</v>
      </c>
      <c r="B69" s="34" t="str">
        <f aca="false">Base_Datos!B72</f>
        <v>Hisopos x100</v>
      </c>
      <c r="C69" s="35" t="str">
        <f aca="false">Base_Datos!C72</f>
        <v>Higiene Personal</v>
      </c>
      <c r="D69" s="35" t="n">
        <f aca="false">Base_Datos!G72</f>
        <v>10</v>
      </c>
      <c r="E69" s="36" t="n">
        <f aca="false">Base_Datos!P72</f>
        <v>6</v>
      </c>
      <c r="F69" s="37" t="n">
        <f aca="false">IFERROR(Base_Datos!G72/(Base_Datos!P72/30),9999)</f>
        <v>50</v>
      </c>
      <c r="G69" s="38" t="n">
        <f aca="false">IFERROR(Base_Datos!O72/Base_Datos!G72,0)</f>
        <v>3.6</v>
      </c>
      <c r="H69" s="39" t="n">
        <f aca="false">Base_Datos!S72</f>
        <v>18</v>
      </c>
      <c r="I69" s="35" t="n">
        <f aca="false">Base_Datos!H72</f>
        <v>5</v>
      </c>
      <c r="J69" s="35" t="n">
        <f aca="false">Base_Datos!R72</f>
        <v>49</v>
      </c>
      <c r="K69" s="40" t="str">
        <f aca="false">IF(IFERROR(Base_Datos!G72/(Base_Datos!P72/30),9999)&lt;7,"🔴 QUIEBRE",IF(IFERROR(Base_Datos!G72/(Base_Datos!P72/30),9999)&lt;14,"🟡 CRÍTICO",IF(IFERROR(Base_Datos!G72/(Base_Datos!P72/30),9999)&lt;=90,"🟢 NORMAL",IF(IFERROR(Base_Datos!G72/(Base_Datos!P72/30),9999)&lt;=180,"🟡 SOBRESTOCK","🔴 STOCK MUERTO"))))</f>
        <v>🟢 NORMAL</v>
      </c>
      <c r="L69" s="20" t="str">
        <f aca="false">IF(F69&lt;7,"⚠ SÍ","—")</f>
        <v>—</v>
      </c>
      <c r="M69" s="40" t="str">
        <f aca="false">IF(E69&gt;=PERCENTILE($E$5:$E$79,0.8),"A",IF(E69&gt;=PERCENTILE($E$5:$E$79,0.5),"B","C"))</f>
        <v>C</v>
      </c>
      <c r="N69" s="41" t="n">
        <f aca="false">IFERROR(Base_Datos!O72/Base_Datos!O83,0)</f>
        <v>0.000729882610546804</v>
      </c>
      <c r="O69" s="42" t="str">
        <f aca="false">IF(F69&lt;7,"REPOSICIÓN URGENTE",IF(F69&lt;14,"Revisar orden de compra",IF(AND(F69&gt;180,J69&gt;60),"LIQUIDAR / DEVOLVER",IF(F69&gt;90,"Reducir próxima compra","Stock en niveles óptimos"))))</f>
        <v>Stock en niveles óptimos</v>
      </c>
      <c r="P69" s="20" t="n">
        <f aca="false">IF(F69&lt;7,1,IF(AND(F69&gt;180,J69&gt;60),2,IF(F69&lt;14,3,IF(F69&gt;90,4,5))))</f>
        <v>5</v>
      </c>
    </row>
    <row r="70" customFormat="false" ht="18" hidden="false" customHeight="true" outlineLevel="0" collapsed="false">
      <c r="A70" s="43" t="str">
        <f aca="false">Base_Datos!A73</f>
        <v>SKU-066</v>
      </c>
      <c r="B70" s="44" t="str">
        <f aca="false">Base_Datos!B73</f>
        <v>Pañuelos Descartables x10</v>
      </c>
      <c r="C70" s="45" t="str">
        <f aca="false">Base_Datos!C73</f>
        <v>Higiene Personal</v>
      </c>
      <c r="D70" s="45" t="n">
        <f aca="false">Base_Datos!G73</f>
        <v>118</v>
      </c>
      <c r="E70" s="46" t="n">
        <f aca="false">Base_Datos!P73</f>
        <v>128.166666666667</v>
      </c>
      <c r="F70" s="47" t="n">
        <f aca="false">IFERROR(Base_Datos!G73/(Base_Datos!P73/30),9999)</f>
        <v>27.6202860858257</v>
      </c>
      <c r="G70" s="48" t="n">
        <f aca="false">IFERROR(Base_Datos!O73/Base_Datos!G73,0)</f>
        <v>6.51694915254237</v>
      </c>
      <c r="H70" s="49" t="n">
        <f aca="false">Base_Datos!S73</f>
        <v>177</v>
      </c>
      <c r="I70" s="45" t="n">
        <f aca="false">Base_Datos!H73</f>
        <v>31</v>
      </c>
      <c r="J70" s="45" t="n">
        <f aca="false">Base_Datos!R73</f>
        <v>2</v>
      </c>
      <c r="K70" s="50" t="str">
        <f aca="false">IF(IFERROR(Base_Datos!G73/(Base_Datos!P73/30),9999)&lt;7,"🔴 QUIEBRE",IF(IFERROR(Base_Datos!G73/(Base_Datos!P73/30),9999)&lt;14,"🟡 CRÍTICO",IF(IFERROR(Base_Datos!G73/(Base_Datos!P73/30),9999)&lt;=90,"🟢 NORMAL",IF(IFERROR(Base_Datos!G73/(Base_Datos!P73/30),9999)&lt;=180,"🟡 SOBRESTOCK","🔴 STOCK MUERTO"))))</f>
        <v>🟢 NORMAL</v>
      </c>
      <c r="L70" s="11" t="str">
        <f aca="false">IF(F70&lt;7,"⚠ SÍ","—")</f>
        <v>—</v>
      </c>
      <c r="M70" s="50" t="str">
        <f aca="false">IF(E70&gt;=PERCENTILE($E$5:$E$79,0.8),"A",IF(E70&gt;=PERCENTILE($E$5:$E$79,0.5),"B","C"))</f>
        <v>B</v>
      </c>
      <c r="N70" s="51" t="n">
        <f aca="false">IFERROR(Base_Datos!O73/Base_Datos!O83,0)</f>
        <v>0.0155911035419581</v>
      </c>
      <c r="O70" s="52" t="str">
        <f aca="false">IF(F70&lt;7,"REPOSICIÓN URGENTE",IF(F70&lt;14,"Revisar orden de compra",IF(AND(F70&gt;180,J70&gt;60),"LIQUIDAR / DEVOLVER",IF(F70&gt;90,"Reducir próxima compra","Stock en niveles óptimos"))))</f>
        <v>Stock en niveles óptimos</v>
      </c>
      <c r="P70" s="11" t="n">
        <f aca="false">IF(F70&lt;7,1,IF(AND(F70&gt;180,J70&gt;60),2,IF(F70&lt;14,3,IF(F70&gt;90,4,5))))</f>
        <v>5</v>
      </c>
    </row>
    <row r="71" customFormat="false" ht="18" hidden="false" customHeight="true" outlineLevel="0" collapsed="false">
      <c r="A71" s="33" t="str">
        <f aca="false">Base_Datos!A74</f>
        <v>SKU-067</v>
      </c>
      <c r="B71" s="34" t="str">
        <f aca="false">Base_Datos!B74</f>
        <v>Afeitadora Descartable x5</v>
      </c>
      <c r="C71" s="35" t="str">
        <f aca="false">Base_Datos!C74</f>
        <v>Higiene Personal</v>
      </c>
      <c r="D71" s="35" t="n">
        <f aca="false">Base_Datos!G74</f>
        <v>32</v>
      </c>
      <c r="E71" s="36" t="n">
        <f aca="false">Base_Datos!P74</f>
        <v>190.5</v>
      </c>
      <c r="F71" s="37" t="n">
        <f aca="false">IFERROR(Base_Datos!G74/(Base_Datos!P74/30),9999)</f>
        <v>5.03937007874016</v>
      </c>
      <c r="G71" s="38" t="n">
        <f aca="false">IFERROR(Base_Datos!O74/Base_Datos!G74,0)</f>
        <v>35.71875</v>
      </c>
      <c r="H71" s="39" t="n">
        <f aca="false">Base_Datos!S74</f>
        <v>153.6</v>
      </c>
      <c r="I71" s="35" t="n">
        <f aca="false">Base_Datos!H74</f>
        <v>51</v>
      </c>
      <c r="J71" s="35" t="n">
        <f aca="false">Base_Datos!R74</f>
        <v>8</v>
      </c>
      <c r="K71" s="40" t="str">
        <f aca="false">IF(IFERROR(Base_Datos!G74/(Base_Datos!P74/30),9999)&lt;7,"🔴 QUIEBRE",IF(IFERROR(Base_Datos!G74/(Base_Datos!P74/30),9999)&lt;14,"🟡 CRÍTICO",IF(IFERROR(Base_Datos!G74/(Base_Datos!P74/30),9999)&lt;=90,"🟢 NORMAL",IF(IFERROR(Base_Datos!G74/(Base_Datos!P74/30),9999)&lt;=180,"🟡 SOBRESTOCK","🔴 STOCK MUERTO"))))</f>
        <v>🔴 QUIEBRE</v>
      </c>
      <c r="L71" s="20" t="str">
        <f aca="false">IF(F71&lt;7,"⚠ SÍ","—")</f>
        <v>⚠ SÍ</v>
      </c>
      <c r="M71" s="40" t="str">
        <f aca="false">IF(E71&gt;=PERCENTILE($E$5:$E$79,0.8),"A",IF(E71&gt;=PERCENTILE($E$5:$E$79,0.5),"B","C"))</f>
        <v>A</v>
      </c>
      <c r="N71" s="41" t="n">
        <f aca="false">IFERROR(Base_Datos!O74/Base_Datos!O83,0)</f>
        <v>0.023173772884861</v>
      </c>
      <c r="O71" s="42" t="str">
        <f aca="false">IF(F71&lt;7,"REPOSICIÓN URGENTE",IF(F71&lt;14,"Revisar orden de compra",IF(AND(F71&gt;180,J71&gt;60),"LIQUIDAR / DEVOLVER",IF(F71&gt;90,"Reducir próxima compra","Stock en niveles óptimos"))))</f>
        <v>REPOSICIÓN URGENTE</v>
      </c>
      <c r="P71" s="20" t="n">
        <f aca="false">IF(F71&lt;7,1,IF(AND(F71&gt;180,J71&gt;60),2,IF(F71&lt;14,3,IF(F71&gt;90,4,5))))</f>
        <v>1</v>
      </c>
    </row>
    <row r="72" customFormat="false" ht="18" hidden="false" customHeight="true" outlineLevel="0" collapsed="false">
      <c r="A72" s="43" t="str">
        <f aca="false">Base_Datos!A75</f>
        <v>SKU-068</v>
      </c>
      <c r="B72" s="44" t="str">
        <f aca="false">Base_Datos!B75</f>
        <v>Espuma de Afeitar 200ml</v>
      </c>
      <c r="C72" s="45" t="str">
        <f aca="false">Base_Datos!C75</f>
        <v>Higiene Personal</v>
      </c>
      <c r="D72" s="45" t="n">
        <f aca="false">Base_Datos!G75</f>
        <v>161</v>
      </c>
      <c r="E72" s="46" t="n">
        <f aca="false">Base_Datos!P75</f>
        <v>179.5</v>
      </c>
      <c r="F72" s="47" t="n">
        <f aca="false">IFERROR(Base_Datos!G75/(Base_Datos!P75/30),9999)</f>
        <v>26.908077994429</v>
      </c>
      <c r="G72" s="48" t="n">
        <f aca="false">IFERROR(Base_Datos!O75/Base_Datos!G75,0)</f>
        <v>6.68944099378882</v>
      </c>
      <c r="H72" s="49" t="n">
        <f aca="false">Base_Datos!S75</f>
        <v>676.2</v>
      </c>
      <c r="I72" s="45" t="n">
        <f aca="false">Base_Datos!H75</f>
        <v>52</v>
      </c>
      <c r="J72" s="45" t="n">
        <f aca="false">Base_Datos!R75</f>
        <v>4</v>
      </c>
      <c r="K72" s="50" t="str">
        <f aca="false">IF(IFERROR(Base_Datos!G75/(Base_Datos!P75/30),9999)&lt;7,"🔴 QUIEBRE",IF(IFERROR(Base_Datos!G75/(Base_Datos!P75/30),9999)&lt;14,"🟡 CRÍTICO",IF(IFERROR(Base_Datos!G75/(Base_Datos!P75/30),9999)&lt;=90,"🟢 NORMAL",IF(IFERROR(Base_Datos!G75/(Base_Datos!P75/30),9999)&lt;=180,"🟡 SOBRESTOCK","🔴 STOCK MUERTO"))))</f>
        <v>🟢 NORMAL</v>
      </c>
      <c r="L72" s="11" t="str">
        <f aca="false">IF(F72&lt;7,"⚠ SÍ","—")</f>
        <v>—</v>
      </c>
      <c r="M72" s="50" t="str">
        <f aca="false">IF(E72&gt;=PERCENTILE($E$5:$E$79,0.8),"A",IF(E72&gt;=PERCENTILE($E$5:$E$79,0.5),"B","C"))</f>
        <v>A</v>
      </c>
      <c r="N72" s="51" t="n">
        <f aca="false">IFERROR(Base_Datos!O75/Base_Datos!O83,0)</f>
        <v>0.0218356547655252</v>
      </c>
      <c r="O72" s="52" t="str">
        <f aca="false">IF(F72&lt;7,"REPOSICIÓN URGENTE",IF(F72&lt;14,"Revisar orden de compra",IF(AND(F72&gt;180,J72&gt;60),"LIQUIDAR / DEVOLVER",IF(F72&gt;90,"Reducir próxima compra","Stock en niveles óptimos"))))</f>
        <v>Stock en niveles óptimos</v>
      </c>
      <c r="P72" s="11" t="n">
        <f aca="false">IF(F72&lt;7,1,IF(AND(F72&gt;180,J72&gt;60),2,IF(F72&lt;14,3,IF(F72&gt;90,4,5))))</f>
        <v>5</v>
      </c>
    </row>
    <row r="73" customFormat="false" ht="18" hidden="false" customHeight="true" outlineLevel="0" collapsed="false">
      <c r="A73" s="33" t="str">
        <f aca="false">Base_Datos!A76</f>
        <v>SKU-069</v>
      </c>
      <c r="B73" s="34" t="str">
        <f aca="false">Base_Datos!B76</f>
        <v>Peine y Cepillo Set</v>
      </c>
      <c r="C73" s="35" t="str">
        <f aca="false">Base_Datos!C76</f>
        <v>Higiene Personal</v>
      </c>
      <c r="D73" s="35" t="n">
        <f aca="false">Base_Datos!G76</f>
        <v>127</v>
      </c>
      <c r="E73" s="36" t="n">
        <f aca="false">Base_Datos!P76</f>
        <v>85.5</v>
      </c>
      <c r="F73" s="37" t="n">
        <f aca="false">IFERROR(Base_Datos!G76/(Base_Datos!P76/30),9999)</f>
        <v>44.5614035087719</v>
      </c>
      <c r="G73" s="38" t="n">
        <f aca="false">IFERROR(Base_Datos!O76/Base_Datos!G76,0)</f>
        <v>4.03937007874016</v>
      </c>
      <c r="H73" s="39" t="n">
        <f aca="false">Base_Datos!S76</f>
        <v>698.5</v>
      </c>
      <c r="I73" s="35" t="n">
        <f aca="false">Base_Datos!H76</f>
        <v>21</v>
      </c>
      <c r="J73" s="35" t="n">
        <f aca="false">Base_Datos!R76</f>
        <v>16</v>
      </c>
      <c r="K73" s="40" t="str">
        <f aca="false">IF(IFERROR(Base_Datos!G76/(Base_Datos!P76/30),9999)&lt;7,"🔴 QUIEBRE",IF(IFERROR(Base_Datos!G76/(Base_Datos!P76/30),9999)&lt;14,"🟡 CRÍTICO",IF(IFERROR(Base_Datos!G76/(Base_Datos!P76/30),9999)&lt;=90,"🟢 NORMAL",IF(IFERROR(Base_Datos!G76/(Base_Datos!P76/30),9999)&lt;=180,"🟡 SOBRESTOCK","🔴 STOCK MUERTO"))))</f>
        <v>🟢 NORMAL</v>
      </c>
      <c r="L73" s="20" t="str">
        <f aca="false">IF(F73&lt;7,"⚠ SÍ","—")</f>
        <v>—</v>
      </c>
      <c r="M73" s="40" t="str">
        <f aca="false">IF(E73&gt;=PERCENTILE($E$5:$E$79,0.8),"A",IF(E73&gt;=PERCENTILE($E$5:$E$79,0.5),"B","C"))</f>
        <v>C</v>
      </c>
      <c r="N73" s="41" t="n">
        <f aca="false">IFERROR(Base_Datos!O76/Base_Datos!O83,0)</f>
        <v>0.010400827200292</v>
      </c>
      <c r="O73" s="42" t="str">
        <f aca="false">IF(F73&lt;7,"REPOSICIÓN URGENTE",IF(F73&lt;14,"Revisar orden de compra",IF(AND(F73&gt;180,J73&gt;60),"LIQUIDAR / DEVOLVER",IF(F73&gt;90,"Reducir próxima compra","Stock en niveles óptimos"))))</f>
        <v>Stock en niveles óptimos</v>
      </c>
      <c r="P73" s="20" t="n">
        <f aca="false">IF(F73&lt;7,1,IF(AND(F73&gt;180,J73&gt;60),2,IF(F73&lt;14,3,IF(F73&gt;90,4,5))))</f>
        <v>5</v>
      </c>
    </row>
    <row r="74" customFormat="false" ht="18" hidden="false" customHeight="true" outlineLevel="0" collapsed="false">
      <c r="A74" s="43" t="str">
        <f aca="false">Base_Datos!A77</f>
        <v>SKU-070</v>
      </c>
      <c r="B74" s="44" t="str">
        <f aca="false">Base_Datos!B77</f>
        <v>Toallas Femeninas x8</v>
      </c>
      <c r="C74" s="45" t="str">
        <f aca="false">Base_Datos!C77</f>
        <v>Higiene Personal</v>
      </c>
      <c r="D74" s="45" t="n">
        <f aca="false">Base_Datos!G77</f>
        <v>534</v>
      </c>
      <c r="E74" s="46" t="n">
        <f aca="false">Base_Datos!P77</f>
        <v>103.5</v>
      </c>
      <c r="F74" s="47" t="n">
        <f aca="false">IFERROR(Base_Datos!G77/(Base_Datos!P77/30),9999)</f>
        <v>154.782608695652</v>
      </c>
      <c r="G74" s="48" t="n">
        <f aca="false">IFERROR(Base_Datos!O77/Base_Datos!G77,0)</f>
        <v>1.16292134831461</v>
      </c>
      <c r="H74" s="49" t="n">
        <f aca="false">Base_Datos!S77</f>
        <v>1922.4</v>
      </c>
      <c r="I74" s="45" t="n">
        <f aca="false">Base_Datos!H77</f>
        <v>27</v>
      </c>
      <c r="J74" s="45" t="n">
        <f aca="false">Base_Datos!R77</f>
        <v>19</v>
      </c>
      <c r="K74" s="50" t="str">
        <f aca="false">IF(IFERROR(Base_Datos!G77/(Base_Datos!P77/30),9999)&lt;7,"🔴 QUIEBRE",IF(IFERROR(Base_Datos!G77/(Base_Datos!P77/30),9999)&lt;14,"🟡 CRÍTICO",IF(IFERROR(Base_Datos!G77/(Base_Datos!P77/30),9999)&lt;=90,"🟢 NORMAL",IF(IFERROR(Base_Datos!G77/(Base_Datos!P77/30),9999)&lt;=180,"🟡 SOBRESTOCK","🔴 STOCK MUERTO"))))</f>
        <v>🟡 SOBRESTOCK</v>
      </c>
      <c r="L74" s="11" t="str">
        <f aca="false">IF(F74&lt;7,"⚠ SÍ","—")</f>
        <v>—</v>
      </c>
      <c r="M74" s="50" t="str">
        <f aca="false">IF(E74&gt;=PERCENTILE($E$5:$E$79,0.8),"A",IF(E74&gt;=PERCENTILE($E$5:$E$79,0.5),"B","C"))</f>
        <v>B</v>
      </c>
      <c r="N74" s="51" t="n">
        <f aca="false">IFERROR(Base_Datos!O77/Base_Datos!O83,0)</f>
        <v>0.0125904750319324</v>
      </c>
      <c r="O74" s="52" t="str">
        <f aca="false">IF(F74&lt;7,"REPOSICIÓN URGENTE",IF(F74&lt;14,"Revisar orden de compra",IF(AND(F74&gt;180,J74&gt;60),"LIQUIDAR / DEVOLVER",IF(F74&gt;90,"Reducir próxima compra","Stock en niveles óptimos"))))</f>
        <v>Reducir próxima compra</v>
      </c>
      <c r="P74" s="11" t="n">
        <f aca="false">IF(F74&lt;7,1,IF(AND(F74&gt;180,J74&gt;60),2,IF(F74&lt;14,3,IF(F74&gt;90,4,5))))</f>
        <v>4</v>
      </c>
    </row>
    <row r="75" customFormat="false" ht="18" hidden="false" customHeight="true" outlineLevel="0" collapsed="false">
      <c r="A75" s="33" t="str">
        <f aca="false">Base_Datos!A78</f>
        <v>SKU-071</v>
      </c>
      <c r="B75" s="34" t="str">
        <f aca="false">Base_Datos!B78</f>
        <v>Tampones x16</v>
      </c>
      <c r="C75" s="35" t="str">
        <f aca="false">Base_Datos!C78</f>
        <v>Higiene Personal</v>
      </c>
      <c r="D75" s="35" t="n">
        <f aca="false">Base_Datos!G78</f>
        <v>103</v>
      </c>
      <c r="E75" s="36" t="n">
        <f aca="false">Base_Datos!P78</f>
        <v>95.3333333333333</v>
      </c>
      <c r="F75" s="37" t="n">
        <f aca="false">IFERROR(Base_Datos!G78/(Base_Datos!P78/30),9999)</f>
        <v>32.4125874125874</v>
      </c>
      <c r="G75" s="38" t="n">
        <f aca="false">IFERROR(Base_Datos!O78/Base_Datos!G78,0)</f>
        <v>5.55339805825243</v>
      </c>
      <c r="H75" s="39" t="n">
        <f aca="false">Base_Datos!S78</f>
        <v>504.7</v>
      </c>
      <c r="I75" s="35" t="n">
        <f aca="false">Base_Datos!H78</f>
        <v>18</v>
      </c>
      <c r="J75" s="35" t="n">
        <f aca="false">Base_Datos!R78</f>
        <v>24</v>
      </c>
      <c r="K75" s="40" t="str">
        <f aca="false">IF(IFERROR(Base_Datos!G78/(Base_Datos!P78/30),9999)&lt;7,"🔴 QUIEBRE",IF(IFERROR(Base_Datos!G78/(Base_Datos!P78/30),9999)&lt;14,"🟡 CRÍTICO",IF(IFERROR(Base_Datos!G78/(Base_Datos!P78/30),9999)&lt;=90,"🟢 NORMAL",IF(IFERROR(Base_Datos!G78/(Base_Datos!P78/30),9999)&lt;=180,"🟡 SOBRESTOCK","🔴 STOCK MUERTO"))))</f>
        <v>🟢 NORMAL</v>
      </c>
      <c r="L75" s="20" t="str">
        <f aca="false">IF(F75&lt;7,"⚠ SÍ","—")</f>
        <v>—</v>
      </c>
      <c r="M75" s="40" t="str">
        <f aca="false">IF(E75&gt;=PERCENTILE($E$5:$E$79,0.8),"A",IF(E75&gt;=PERCENTILE($E$5:$E$79,0.5),"B","C"))</f>
        <v>C</v>
      </c>
      <c r="N75" s="41" t="n">
        <f aca="false">IFERROR(Base_Datos!O78/Base_Datos!O83,0)</f>
        <v>0.0115970237009103</v>
      </c>
      <c r="O75" s="42" t="str">
        <f aca="false">IF(F75&lt;7,"REPOSICIÓN URGENTE",IF(F75&lt;14,"Revisar orden de compra",IF(AND(F75&gt;180,J75&gt;60),"LIQUIDAR / DEVOLVER",IF(F75&gt;90,"Reducir próxima compra","Stock en niveles óptimos"))))</f>
        <v>Stock en niveles óptimos</v>
      </c>
      <c r="P75" s="20" t="n">
        <f aca="false">IF(F75&lt;7,1,IF(AND(F75&gt;180,J75&gt;60),2,IF(F75&lt;14,3,IF(F75&gt;90,4,5))))</f>
        <v>5</v>
      </c>
    </row>
    <row r="76" customFormat="false" ht="18" hidden="false" customHeight="true" outlineLevel="0" collapsed="false">
      <c r="A76" s="43" t="str">
        <f aca="false">Base_Datos!A79</f>
        <v>SKU-072</v>
      </c>
      <c r="B76" s="44" t="str">
        <f aca="false">Base_Datos!B79</f>
        <v>Talco Corporal 100g</v>
      </c>
      <c r="C76" s="45" t="str">
        <f aca="false">Base_Datos!C79</f>
        <v>Higiene Personal</v>
      </c>
      <c r="D76" s="45" t="n">
        <f aca="false">Base_Datos!G79</f>
        <v>38</v>
      </c>
      <c r="E76" s="46" t="n">
        <f aca="false">Base_Datos!P79</f>
        <v>22.6666666666667</v>
      </c>
      <c r="F76" s="47" t="n">
        <f aca="false">IFERROR(Base_Datos!G79/(Base_Datos!P79/30),9999)</f>
        <v>50.2941176470588</v>
      </c>
      <c r="G76" s="48" t="n">
        <f aca="false">IFERROR(Base_Datos!O79/Base_Datos!G79,0)</f>
        <v>3.57894736842105</v>
      </c>
      <c r="H76" s="49" t="n">
        <f aca="false">Base_Datos!S79</f>
        <v>117.8</v>
      </c>
      <c r="I76" s="45" t="n">
        <f aca="false">Base_Datos!H79</f>
        <v>5</v>
      </c>
      <c r="J76" s="45" t="n">
        <f aca="false">Base_Datos!R79</f>
        <v>54</v>
      </c>
      <c r="K76" s="50" t="str">
        <f aca="false">IF(IFERROR(Base_Datos!G79/(Base_Datos!P79/30),9999)&lt;7,"🔴 QUIEBRE",IF(IFERROR(Base_Datos!G79/(Base_Datos!P79/30),9999)&lt;14,"🟡 CRÍTICO",IF(IFERROR(Base_Datos!G79/(Base_Datos!P79/30),9999)&lt;=90,"🟢 NORMAL",IF(IFERROR(Base_Datos!G79/(Base_Datos!P79/30),9999)&lt;=180,"🟡 SOBRESTOCK","🔴 STOCK MUERTO"))))</f>
        <v>🟢 NORMAL</v>
      </c>
      <c r="L76" s="11" t="str">
        <f aca="false">IF(F76&lt;7,"⚠ SÍ","—")</f>
        <v>—</v>
      </c>
      <c r="M76" s="50" t="str">
        <f aca="false">IF(E76&gt;=PERCENTILE($E$5:$E$79,0.8),"A",IF(E76&gt;=PERCENTILE($E$5:$E$79,0.5),"B","C"))</f>
        <v>C</v>
      </c>
      <c r="N76" s="51" t="n">
        <f aca="false">IFERROR(Base_Datos!O79/Base_Datos!O83,0)</f>
        <v>0.00275733430651015</v>
      </c>
      <c r="O76" s="52" t="str">
        <f aca="false">IF(F76&lt;7,"REPOSICIÓN URGENTE",IF(F76&lt;14,"Revisar orden de compra",IF(AND(F76&gt;180,J76&gt;60),"LIQUIDAR / DEVOLVER",IF(F76&gt;90,"Reducir próxima compra","Stock en niveles óptimos"))))</f>
        <v>Stock en niveles óptimos</v>
      </c>
      <c r="P76" s="11" t="n">
        <f aca="false">IF(F76&lt;7,1,IF(AND(F76&gt;180,J76&gt;60),2,IF(F76&lt;14,3,IF(F76&gt;90,4,5))))</f>
        <v>5</v>
      </c>
    </row>
    <row r="77" customFormat="false" ht="18" hidden="false" customHeight="true" outlineLevel="0" collapsed="false">
      <c r="A77" s="33" t="str">
        <f aca="false">Base_Datos!A80</f>
        <v>SKU-073</v>
      </c>
      <c r="B77" s="34" t="str">
        <f aca="false">Base_Datos!B80</f>
        <v>Loción After Shave 100ml</v>
      </c>
      <c r="C77" s="35" t="str">
        <f aca="false">Base_Datos!C80</f>
        <v>Higiene Personal</v>
      </c>
      <c r="D77" s="35" t="n">
        <f aca="false">Base_Datos!G80</f>
        <v>36</v>
      </c>
      <c r="E77" s="36" t="n">
        <f aca="false">Base_Datos!P80</f>
        <v>166</v>
      </c>
      <c r="F77" s="37" t="n">
        <f aca="false">IFERROR(Base_Datos!G80/(Base_Datos!P80/30),9999)</f>
        <v>6.50602409638554</v>
      </c>
      <c r="G77" s="38" t="n">
        <f aca="false">IFERROR(Base_Datos!O80/Base_Datos!G80,0)</f>
        <v>27.6666666666667</v>
      </c>
      <c r="H77" s="39" t="n">
        <f aca="false">Base_Datos!S80</f>
        <v>244.8</v>
      </c>
      <c r="I77" s="35" t="n">
        <f aca="false">Base_Datos!H80</f>
        <v>39</v>
      </c>
      <c r="J77" s="35" t="n">
        <f aca="false">Base_Datos!R80</f>
        <v>1</v>
      </c>
      <c r="K77" s="40" t="str">
        <f aca="false">IF(IFERROR(Base_Datos!G80/(Base_Datos!P80/30),9999)&lt;7,"🔴 QUIEBRE",IF(IFERROR(Base_Datos!G80/(Base_Datos!P80/30),9999)&lt;14,"🟡 CRÍTICO",IF(IFERROR(Base_Datos!G80/(Base_Datos!P80/30),9999)&lt;=90,"🟢 NORMAL",IF(IFERROR(Base_Datos!G80/(Base_Datos!P80/30),9999)&lt;=180,"🟡 SOBRESTOCK","🔴 STOCK MUERTO"))))</f>
        <v>🔴 QUIEBRE</v>
      </c>
      <c r="L77" s="20" t="str">
        <f aca="false">IF(F77&lt;7,"⚠ SÍ","—")</f>
        <v>⚠ SÍ</v>
      </c>
      <c r="M77" s="40" t="str">
        <f aca="false">IF(E77&gt;=PERCENTILE($E$5:$E$79,0.8),"A",IF(E77&gt;=PERCENTILE($E$5:$E$79,0.5),"B","C"))</f>
        <v>A</v>
      </c>
      <c r="N77" s="41" t="n">
        <f aca="false">IFERROR(Base_Datos!O80/Base_Datos!O83,0)</f>
        <v>0.0201934188917949</v>
      </c>
      <c r="O77" s="42" t="str">
        <f aca="false">IF(F77&lt;7,"REPOSICIÓN URGENTE",IF(F77&lt;14,"Revisar orden de compra",IF(AND(F77&gt;180,J77&gt;60),"LIQUIDAR / DEVOLVER",IF(F77&gt;90,"Reducir próxima compra","Stock en niveles óptimos"))))</f>
        <v>REPOSICIÓN URGENTE</v>
      </c>
      <c r="P77" s="20" t="n">
        <f aca="false">IF(F77&lt;7,1,IF(AND(F77&gt;180,J77&gt;60),2,IF(F77&lt;14,3,IF(F77&gt;90,4,5))))</f>
        <v>1</v>
      </c>
    </row>
    <row r="78" customFormat="false" ht="18" hidden="false" customHeight="true" outlineLevel="0" collapsed="false">
      <c r="A78" s="43" t="str">
        <f aca="false">Base_Datos!A81</f>
        <v>SKU-074</v>
      </c>
      <c r="B78" s="44" t="str">
        <f aca="false">Base_Datos!B81</f>
        <v>Maquinilla de Afeitar Recargable</v>
      </c>
      <c r="C78" s="45" t="str">
        <f aca="false">Base_Datos!C81</f>
        <v>Higiene Personal</v>
      </c>
      <c r="D78" s="45" t="n">
        <f aca="false">Base_Datos!G81</f>
        <v>269</v>
      </c>
      <c r="E78" s="46" t="n">
        <f aca="false">Base_Datos!P81</f>
        <v>107.833333333333</v>
      </c>
      <c r="F78" s="47" t="n">
        <f aca="false">IFERROR(Base_Datos!G81/(Base_Datos!P81/30),9999)</f>
        <v>74.83771251932</v>
      </c>
      <c r="G78" s="48" t="n">
        <f aca="false">IFERROR(Base_Datos!O81/Base_Datos!G81,0)</f>
        <v>2.40520446096654</v>
      </c>
      <c r="H78" s="49" t="n">
        <f aca="false">Base_Datos!S81</f>
        <v>3362.5</v>
      </c>
      <c r="I78" s="45" t="n">
        <f aca="false">Base_Datos!H81</f>
        <v>23</v>
      </c>
      <c r="J78" s="45" t="n">
        <f aca="false">Base_Datos!R81</f>
        <v>27</v>
      </c>
      <c r="K78" s="50" t="str">
        <f aca="false">IF(IFERROR(Base_Datos!G81/(Base_Datos!P81/30),9999)&lt;7,"🔴 QUIEBRE",IF(IFERROR(Base_Datos!G81/(Base_Datos!P81/30),9999)&lt;14,"🟡 CRÍTICO",IF(IFERROR(Base_Datos!G81/(Base_Datos!P81/30),9999)&lt;=90,"🟢 NORMAL",IF(IFERROR(Base_Datos!G81/(Base_Datos!P81/30),9999)&lt;=180,"🟡 SOBRESTOCK","🔴 STOCK MUERTO"))))</f>
        <v>🟢 NORMAL</v>
      </c>
      <c r="L78" s="11" t="str">
        <f aca="false">IF(F78&lt;7,"⚠ SÍ","—")</f>
        <v>—</v>
      </c>
      <c r="M78" s="50" t="str">
        <f aca="false">IF(E78&gt;=PERCENTILE($E$5:$E$79,0.8),"A",IF(E78&gt;=PERCENTILE($E$5:$E$79,0.5),"B","C"))</f>
        <v>B</v>
      </c>
      <c r="N78" s="51" t="n">
        <f aca="false">IFERROR(Base_Datos!O81/Base_Datos!O83,0)</f>
        <v>0.0131176124728828</v>
      </c>
      <c r="O78" s="52" t="str">
        <f aca="false">IF(F78&lt;7,"REPOSICIÓN URGENTE",IF(F78&lt;14,"Revisar orden de compra",IF(AND(F78&gt;180,J78&gt;60),"LIQUIDAR / DEVOLVER",IF(F78&gt;90,"Reducir próxima compra","Stock en niveles óptimos"))))</f>
        <v>Stock en niveles óptimos</v>
      </c>
      <c r="P78" s="11" t="n">
        <f aca="false">IF(F78&lt;7,1,IF(AND(F78&gt;180,J78&gt;60),2,IF(F78&lt;14,3,IF(F78&gt;90,4,5))))</f>
        <v>5</v>
      </c>
    </row>
    <row r="79" customFormat="false" ht="18" hidden="false" customHeight="true" outlineLevel="0" collapsed="false">
      <c r="A79" s="33" t="str">
        <f aca="false">Base_Datos!A82</f>
        <v>SKU-075</v>
      </c>
      <c r="B79" s="34" t="str">
        <f aca="false">Base_Datos!B82</f>
        <v>Repuestos Maquinilla x4</v>
      </c>
      <c r="C79" s="35" t="str">
        <f aca="false">Base_Datos!C82</f>
        <v>Higiene Personal</v>
      </c>
      <c r="D79" s="35" t="n">
        <f aca="false">Base_Datos!G82</f>
        <v>206</v>
      </c>
      <c r="E79" s="36" t="n">
        <f aca="false">Base_Datos!P82</f>
        <v>1.66666666666667</v>
      </c>
      <c r="F79" s="37" t="n">
        <f aca="false">IFERROR(Base_Datos!G82/(Base_Datos!P82/30),9999)</f>
        <v>3708</v>
      </c>
      <c r="G79" s="38" t="n">
        <f aca="false">IFERROR(Base_Datos!O82/Base_Datos!G82,0)</f>
        <v>0.0485436893203884</v>
      </c>
      <c r="H79" s="39" t="n">
        <f aca="false">Base_Datos!S82</f>
        <v>2018.8</v>
      </c>
      <c r="I79" s="35" t="n">
        <f aca="false">Base_Datos!H82</f>
        <v>5</v>
      </c>
      <c r="J79" s="35" t="n">
        <f aca="false">Base_Datos!R82</f>
        <v>69</v>
      </c>
      <c r="K79" s="40" t="str">
        <f aca="false">IF(IFERROR(Base_Datos!G82/(Base_Datos!P82/30),9999)&lt;7,"🔴 QUIEBRE",IF(IFERROR(Base_Datos!G82/(Base_Datos!P82/30),9999)&lt;14,"🟡 CRÍTICO",IF(IFERROR(Base_Datos!G82/(Base_Datos!P82/30),9999)&lt;=90,"🟢 NORMAL",IF(IFERROR(Base_Datos!G82/(Base_Datos!P82/30),9999)&lt;=180,"🟡 SOBRESTOCK","🔴 STOCK MUERTO"))))</f>
        <v>🔴 STOCK MUERTO</v>
      </c>
      <c r="L79" s="20" t="str">
        <f aca="false">IF(F79&lt;7,"⚠ SÍ","—")</f>
        <v>—</v>
      </c>
      <c r="M79" s="40" t="str">
        <f aca="false">IF(E79&gt;=PERCENTILE($E$5:$E$79,0.8),"A",IF(E79&gt;=PERCENTILE($E$5:$E$79,0.5),"B","C"))</f>
        <v>C</v>
      </c>
      <c r="N79" s="41" t="n">
        <f aca="false">IFERROR(Base_Datos!O82/Base_Datos!O83,0)</f>
        <v>0.000202745169596334</v>
      </c>
      <c r="O79" s="42" t="str">
        <f aca="false">IF(F79&lt;7,"REPOSICIÓN URGENTE",IF(F79&lt;14,"Revisar orden de compra",IF(AND(F79&gt;180,J79&gt;60),"LIQUIDAR / DEVOLVER",IF(F79&gt;90,"Reducir próxima compra","Stock en niveles óptimos"))))</f>
        <v>LIQUIDAR / DEVOLVER</v>
      </c>
      <c r="P79" s="20" t="n">
        <f aca="false">IF(F79&lt;7,1,IF(AND(F79&gt;180,J79&gt;60),2,IF(F79&lt;14,3,IF(F79&gt;90,4,5))))</f>
        <v>2</v>
      </c>
    </row>
    <row r="81" customFormat="false" ht="6" hidden="false" customHeight="true" outlineLevel="0" collapsed="false"/>
    <row r="82" customFormat="false" ht="21.75" hidden="false" customHeight="true" outlineLevel="0" collapsed="false">
      <c r="A82" s="53" t="s">
        <v>262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</row>
    <row r="83" customFormat="false" ht="18" hidden="false" customHeight="true" outlineLevel="0" collapsed="false">
      <c r="A83" s="54" t="s">
        <v>263</v>
      </c>
      <c r="B83" s="55" t="s">
        <v>264</v>
      </c>
      <c r="C83" s="56"/>
    </row>
    <row r="84" customFormat="false" ht="18" hidden="false" customHeight="true" outlineLevel="0" collapsed="false">
      <c r="A84" s="57" t="s">
        <v>265</v>
      </c>
      <c r="B84" s="6" t="n">
        <f aca="false">COUNTIF(K5:K79,"🔴 QUIEBRE")</f>
        <v>7</v>
      </c>
      <c r="C84" s="58" t="s">
        <v>266</v>
      </c>
    </row>
    <row r="85" customFormat="false" ht="18" hidden="false" customHeight="true" outlineLevel="0" collapsed="false">
      <c r="A85" s="59" t="s">
        <v>267</v>
      </c>
      <c r="B85" s="15" t="n">
        <f aca="false">COUNTIF(K5:K79,"🔴 STOCK MUERTO")</f>
        <v>12</v>
      </c>
      <c r="C85" s="60" t="s">
        <v>266</v>
      </c>
    </row>
    <row r="86" customFormat="false" ht="18" hidden="false" customHeight="true" outlineLevel="0" collapsed="false">
      <c r="A86" s="57" t="s">
        <v>268</v>
      </c>
      <c r="B86" s="6" t="n">
        <f aca="false">COUNTIF(K5:K79,"🟡 SOBRESTOCK")</f>
        <v>6</v>
      </c>
      <c r="C86" s="58" t="s">
        <v>266</v>
      </c>
    </row>
    <row r="87" customFormat="false" ht="18" hidden="false" customHeight="true" outlineLevel="0" collapsed="false">
      <c r="A87" s="59" t="s">
        <v>269</v>
      </c>
      <c r="B87" s="15" t="n">
        <f aca="false">COUNTIF(K5:K79,"🟢 NORMAL")</f>
        <v>49</v>
      </c>
      <c r="C87" s="60" t="s">
        <v>266</v>
      </c>
    </row>
    <row r="88" customFormat="false" ht="18" hidden="false" customHeight="true" outlineLevel="0" collapsed="false">
      <c r="A88" s="57" t="s">
        <v>270</v>
      </c>
      <c r="B88" s="61" t="n">
        <f aca="false">SUM(H5:H79)</f>
        <v>64825.2</v>
      </c>
      <c r="C88" s="58" t="s">
        <v>271</v>
      </c>
    </row>
    <row r="89" customFormat="false" ht="18" hidden="false" customHeight="true" outlineLevel="0" collapsed="false">
      <c r="A89" s="59" t="s">
        <v>272</v>
      </c>
      <c r="B89" s="62" t="n">
        <f aca="false">SUMIF(K5:K79,"🔴 STOCK MUERTO",H5:H79)</f>
        <v>22472.7</v>
      </c>
      <c r="C89" s="60" t="s">
        <v>271</v>
      </c>
    </row>
    <row r="90" customFormat="false" ht="18" hidden="false" customHeight="true" outlineLevel="0" collapsed="false">
      <c r="A90" s="57" t="s">
        <v>273</v>
      </c>
      <c r="B90" s="63" t="n">
        <f aca="false">AVERAGE(F5:F79)</f>
        <v>540.362721193656</v>
      </c>
      <c r="C90" s="58" t="s">
        <v>274</v>
      </c>
    </row>
    <row r="91" customFormat="false" ht="18" hidden="false" customHeight="true" outlineLevel="0" collapsed="false">
      <c r="A91" s="59" t="s">
        <v>275</v>
      </c>
      <c r="B91" s="64" t="n">
        <f aca="false">AVERAGE(G5:G79)</f>
        <v>9.25374198696014</v>
      </c>
      <c r="C91" s="60" t="s">
        <v>276</v>
      </c>
    </row>
  </sheetData>
  <autoFilter ref="A4:P79"/>
  <mergeCells count="3">
    <mergeCell ref="A1:P1"/>
    <mergeCell ref="A2:P2"/>
    <mergeCell ref="A82:P82"/>
  </mergeCells>
  <conditionalFormatting sqref="F5:F79">
    <cfRule type="colorScale" priority="2">
      <colorScale>
        <cfvo type="num" val="0"/>
        <cfvo type="num" val="30"/>
        <cfvo type="num" val="90"/>
        <color rgb="FFFFC7CE"/>
        <color rgb="FFFFEB9C"/>
        <color rgb="FFC6EFCE"/>
      </colorScale>
    </cfRule>
  </conditionalFormatting>
  <conditionalFormatting sqref="G5:G79">
    <cfRule type="colorScale" priority="3">
      <colorScale>
        <cfvo type="num" val="0"/>
        <cfvo type="num" val="2"/>
        <cfvo type="num" val="10"/>
        <color rgb="FFFFC7CE"/>
        <color rgb="FFFFEB9C"/>
        <color rgb="FFC6EFCE"/>
      </colorScale>
    </cfRule>
  </conditionalFormatting>
  <conditionalFormatting sqref="K5:K79">
    <cfRule type="expression" priority="4" aboveAverage="0" equalAverage="0" bottom="0" percent="0" rank="0" text="" dxfId="86">
      <formula>K5="🔴 QUIEBRE"</formula>
    </cfRule>
    <cfRule type="expression" priority="5" aboveAverage="0" equalAverage="0" bottom="0" percent="0" rank="0" text="" dxfId="86">
      <formula>K5="🔴 STOCK MUERTO"</formula>
    </cfRule>
    <cfRule type="expression" priority="6" aboveAverage="0" equalAverage="0" bottom="0" percent="0" rank="0" text="" dxfId="87">
      <formula>K5="🟡 CRÍTICO"</formula>
    </cfRule>
    <cfRule type="expression" priority="7" aboveAverage="0" equalAverage="0" bottom="0" percent="0" rank="0" text="" dxfId="87">
      <formula>K5="🟡 SOBRESTOCK"</formula>
    </cfRule>
    <cfRule type="expression" priority="8" aboveAverage="0" equalAverage="0" bottom="0" percent="0" rank="0" text="" dxfId="88">
      <formula>K5="🟢 NORMAL"</formula>
    </cfRule>
  </conditionalFormatting>
  <conditionalFormatting sqref="M5:M79">
    <cfRule type="cellIs" priority="9" operator="equal" aboveAverage="0" equalAverage="0" bottom="0" percent="0" rank="0" text="" dxfId="89">
      <formula>"A"</formula>
    </cfRule>
    <cfRule type="cellIs" priority="10" operator="equal" aboveAverage="0" equalAverage="0" bottom="0" percent="0" rank="0" text="" dxfId="90">
      <formula>"B"</formula>
    </cfRule>
    <cfRule type="cellIs" priority="11" operator="equal" aboveAverage="0" equalAverage="0" bottom="0" percent="0" rank="0" text="" dxfId="91">
      <formula>"C"</formula>
    </cfRule>
  </conditionalFormatting>
  <conditionalFormatting sqref="P5:P79">
    <cfRule type="cellIs" priority="12" operator="equal" aboveAverage="0" equalAverage="0" bottom="0" percent="0" rank="0" text="" dxfId="86">
      <formula>1</formula>
    </cfRule>
    <cfRule type="cellIs" priority="13" operator="equal" aboveAverage="0" equalAverage="0" bottom="0" percent="0" rank="0" text="" dxfId="92">
      <formula>2</formula>
    </cfRule>
    <cfRule type="cellIs" priority="14" operator="equal" aboveAverage="0" equalAverage="0" bottom="0" percent="0" rank="0" text="" dxfId="87">
      <formula>3</formula>
    </cfRule>
    <cfRule type="cellIs" priority="15" operator="equal" aboveAverage="0" equalAverage="0" bottom="0" percent="0" rank="0" text="" dxfId="93">
      <formula>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30"/>
    <col collapsed="false" customWidth="true" hidden="false" outlineLevel="0" max="3" min="3" style="1" width="18"/>
    <col collapsed="false" customWidth="true" hidden="false" outlineLevel="0" max="4" min="4" style="1" width="9"/>
    <col collapsed="false" customWidth="true" hidden="false" outlineLevel="0" max="5" min="5" style="1" width="11"/>
    <col collapsed="false" customWidth="true" hidden="false" outlineLevel="0" max="6" min="6" style="1" width="10"/>
    <col collapsed="false" customWidth="true" hidden="false" outlineLevel="0" max="7" min="7" style="1" width="9"/>
    <col collapsed="false" customWidth="true" hidden="false" outlineLevel="0" max="8" min="8" style="1" width="7"/>
    <col collapsed="false" customWidth="true" hidden="false" outlineLevel="0" max="9" min="9" style="1" width="12"/>
    <col collapsed="false" customWidth="true" hidden="false" outlineLevel="0" max="10" min="10" style="1" width="22"/>
  </cols>
  <sheetData>
    <row r="1" customFormat="false" ht="27.75" hidden="false" customHeight="true" outlineLevel="0" collapsed="false">
      <c r="A1" s="2" t="s">
        <v>277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.75" hidden="false" customHeight="true" outlineLevel="0" collapsed="false">
      <c r="A2" s="3" t="s">
        <v>278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6" hidden="false" customHeight="true" outlineLevel="0" collapsed="false"/>
    <row r="4" customFormat="false" ht="21.75" hidden="false" customHeight="true" outlineLevel="0" collapsed="false">
      <c r="A4" s="65" t="s">
        <v>279</v>
      </c>
      <c r="B4" s="65"/>
      <c r="C4" s="65"/>
      <c r="D4" s="65"/>
      <c r="E4" s="65"/>
      <c r="F4" s="65"/>
      <c r="G4" s="65"/>
      <c r="H4" s="65"/>
      <c r="I4" s="65"/>
      <c r="J4" s="65"/>
    </row>
    <row r="5" customFormat="false" ht="27.75" hidden="false" customHeight="true" outlineLevel="0" collapsed="false">
      <c r="A5" s="66" t="s">
        <v>2</v>
      </c>
      <c r="B5" s="66" t="s">
        <v>3</v>
      </c>
      <c r="C5" s="66" t="s">
        <v>4</v>
      </c>
      <c r="D5" s="66" t="s">
        <v>8</v>
      </c>
      <c r="E5" s="66" t="s">
        <v>17</v>
      </c>
      <c r="F5" s="66" t="s">
        <v>280</v>
      </c>
      <c r="G5" s="66" t="s">
        <v>9</v>
      </c>
      <c r="H5" s="66" t="s">
        <v>281</v>
      </c>
      <c r="I5" s="66" t="s">
        <v>282</v>
      </c>
      <c r="J5" s="66" t="s">
        <v>283</v>
      </c>
    </row>
    <row r="6" customFormat="false" ht="15.75" hidden="false" customHeight="true" outlineLevel="0" collapsed="false">
      <c r="A6" s="67" t="str">
        <f aca="false">IFERROR(IF(Análisis!$K$5="🔴 QUIEBRE",Análisis!A5,""),"—")</f>
        <v/>
      </c>
      <c r="B6" s="68" t="str">
        <f aca="false">IFERROR(IF(Análisis!$K$5="🔴 QUIEBRE",Análisis!B5,""),"—")</f>
        <v/>
      </c>
      <c r="C6" s="67" t="str">
        <f aca="false">IFERROR(IF(Análisis!$K$5="🔴 QUIEBRE",Análisis!C5,""),"—")</f>
        <v/>
      </c>
      <c r="D6" s="67" t="str">
        <f aca="false">IFERROR(IF(Análisis!$K$5="🔴 QUIEBRE",Análisis!D5,""),"—")</f>
        <v/>
      </c>
      <c r="E6" s="69" t="str">
        <f aca="false">IFERROR(IF(Análisis!$K$5="🔴 QUIEBRE",Análisis!E5,""),"—")</f>
        <v/>
      </c>
      <c r="F6" s="70" t="str">
        <f aca="false">IFERROR(IF(Análisis!$K$5="🔴 QUIEBRE",Análisis!F5,""),"—")</f>
        <v/>
      </c>
      <c r="G6" s="67" t="str">
        <f aca="false">IFERROR(IF(Análisis!$K$5="🔴 QUIEBRE",Análisis!I5,""),"—")</f>
        <v/>
      </c>
      <c r="H6" s="67" t="str">
        <f aca="false">IFERROR(IF(Análisis!$K$5="🔴 QUIEBRE",Análisis!M5,""),"—")</f>
        <v/>
      </c>
      <c r="I6" s="71" t="str">
        <f aca="false">IFERROR(IF(Análisis!$K$5="🔴 QUIEBRE",Análisis!H5,""),"—")</f>
        <v/>
      </c>
      <c r="J6" s="67" t="str">
        <f aca="false">IFERROR(IF(Análisis!$K$5="🔴 QUIEBRE",Análisis!O5,""),"—")</f>
        <v/>
      </c>
    </row>
    <row r="7" customFormat="false" ht="15.75" hidden="false" customHeight="true" outlineLevel="0" collapsed="false">
      <c r="A7" s="67" t="str">
        <f aca="false">IFERROR(IF(Análisis!$K$6="🔴 QUIEBRE",Análisis!A6,""),"—")</f>
        <v/>
      </c>
      <c r="B7" s="68" t="str">
        <f aca="false">IFERROR(IF(Análisis!$K$6="🔴 QUIEBRE",Análisis!B6,""),"—")</f>
        <v/>
      </c>
      <c r="C7" s="67" t="str">
        <f aca="false">IFERROR(IF(Análisis!$K$6="🔴 QUIEBRE",Análisis!C6,""),"—")</f>
        <v/>
      </c>
      <c r="D7" s="67" t="str">
        <f aca="false">IFERROR(IF(Análisis!$K$6="🔴 QUIEBRE",Análisis!D6,""),"—")</f>
        <v/>
      </c>
      <c r="E7" s="69" t="str">
        <f aca="false">IFERROR(IF(Análisis!$K$6="🔴 QUIEBRE",Análisis!E6,""),"—")</f>
        <v/>
      </c>
      <c r="F7" s="70" t="str">
        <f aca="false">IFERROR(IF(Análisis!$K$6="🔴 QUIEBRE",Análisis!F6,""),"—")</f>
        <v/>
      </c>
      <c r="G7" s="67" t="str">
        <f aca="false">IFERROR(IF(Análisis!$K$6="🔴 QUIEBRE",Análisis!I6,""),"—")</f>
        <v/>
      </c>
      <c r="H7" s="67" t="str">
        <f aca="false">IFERROR(IF(Análisis!$K$6="🔴 QUIEBRE",Análisis!M6,""),"—")</f>
        <v/>
      </c>
      <c r="I7" s="71" t="str">
        <f aca="false">IFERROR(IF(Análisis!$K$6="🔴 QUIEBRE",Análisis!H6,""),"—")</f>
        <v/>
      </c>
      <c r="J7" s="67" t="str">
        <f aca="false">IFERROR(IF(Análisis!$K$6="🔴 QUIEBRE",Análisis!O6,""),"—")</f>
        <v/>
      </c>
    </row>
    <row r="8" customFormat="false" ht="15.75" hidden="false" customHeight="true" outlineLevel="0" collapsed="false">
      <c r="A8" s="67" t="str">
        <f aca="false">IFERROR(IF(Análisis!$K$7="🔴 QUIEBRE",Análisis!A7,""),"—")</f>
        <v/>
      </c>
      <c r="B8" s="68" t="str">
        <f aca="false">IFERROR(IF(Análisis!$K$7="🔴 QUIEBRE",Análisis!B7,""),"—")</f>
        <v/>
      </c>
      <c r="C8" s="67" t="str">
        <f aca="false">IFERROR(IF(Análisis!$K$7="🔴 QUIEBRE",Análisis!C7,""),"—")</f>
        <v/>
      </c>
      <c r="D8" s="67" t="str">
        <f aca="false">IFERROR(IF(Análisis!$K$7="🔴 QUIEBRE",Análisis!D7,""),"—")</f>
        <v/>
      </c>
      <c r="E8" s="69" t="str">
        <f aca="false">IFERROR(IF(Análisis!$K$7="🔴 QUIEBRE",Análisis!E7,""),"—")</f>
        <v/>
      </c>
      <c r="F8" s="70" t="str">
        <f aca="false">IFERROR(IF(Análisis!$K$7="🔴 QUIEBRE",Análisis!F7,""),"—")</f>
        <v/>
      </c>
      <c r="G8" s="67" t="str">
        <f aca="false">IFERROR(IF(Análisis!$K$7="🔴 QUIEBRE",Análisis!I7,""),"—")</f>
        <v/>
      </c>
      <c r="H8" s="67" t="str">
        <f aca="false">IFERROR(IF(Análisis!$K$7="🔴 QUIEBRE",Análisis!M7,""),"—")</f>
        <v/>
      </c>
      <c r="I8" s="71" t="str">
        <f aca="false">IFERROR(IF(Análisis!$K$7="🔴 QUIEBRE",Análisis!H7,""),"—")</f>
        <v/>
      </c>
      <c r="J8" s="67" t="str">
        <f aca="false">IFERROR(IF(Análisis!$K$7="🔴 QUIEBRE",Análisis!O7,""),"—")</f>
        <v/>
      </c>
    </row>
    <row r="9" customFormat="false" ht="15.75" hidden="false" customHeight="true" outlineLevel="0" collapsed="false">
      <c r="A9" s="67" t="str">
        <f aca="false">IFERROR(IF(Análisis!$K$8="🔴 QUIEBRE",Análisis!A8,""),"—")</f>
        <v/>
      </c>
      <c r="B9" s="68" t="str">
        <f aca="false">IFERROR(IF(Análisis!$K$8="🔴 QUIEBRE",Análisis!B8,""),"—")</f>
        <v/>
      </c>
      <c r="C9" s="67" t="str">
        <f aca="false">IFERROR(IF(Análisis!$K$8="🔴 QUIEBRE",Análisis!C8,""),"—")</f>
        <v/>
      </c>
      <c r="D9" s="67" t="str">
        <f aca="false">IFERROR(IF(Análisis!$K$8="🔴 QUIEBRE",Análisis!D8,""),"—")</f>
        <v/>
      </c>
      <c r="E9" s="69" t="str">
        <f aca="false">IFERROR(IF(Análisis!$K$8="🔴 QUIEBRE",Análisis!E8,""),"—")</f>
        <v/>
      </c>
      <c r="F9" s="70" t="str">
        <f aca="false">IFERROR(IF(Análisis!$K$8="🔴 QUIEBRE",Análisis!F8,""),"—")</f>
        <v/>
      </c>
      <c r="G9" s="67" t="str">
        <f aca="false">IFERROR(IF(Análisis!$K$8="🔴 QUIEBRE",Análisis!I8,""),"—")</f>
        <v/>
      </c>
      <c r="H9" s="67" t="str">
        <f aca="false">IFERROR(IF(Análisis!$K$8="🔴 QUIEBRE",Análisis!M8,""),"—")</f>
        <v/>
      </c>
      <c r="I9" s="71" t="str">
        <f aca="false">IFERROR(IF(Análisis!$K$8="🔴 QUIEBRE",Análisis!H8,""),"—")</f>
        <v/>
      </c>
      <c r="J9" s="67" t="str">
        <f aca="false">IFERROR(IF(Análisis!$K$8="🔴 QUIEBRE",Análisis!O8,""),"—")</f>
        <v/>
      </c>
    </row>
    <row r="10" customFormat="false" ht="15.75" hidden="false" customHeight="true" outlineLevel="0" collapsed="false">
      <c r="A10" s="67" t="str">
        <f aca="false">IFERROR(IF(Análisis!$K$9="🔴 QUIEBRE",Análisis!A9,""),"—")</f>
        <v>SKU-005</v>
      </c>
      <c r="B10" s="68" t="str">
        <f aca="false">IFERROR(IF(Análisis!$K$9="🔴 QUIEBRE",Análisis!B9,""),"—")</f>
        <v>Harina 000 1kg</v>
      </c>
      <c r="C10" s="67" t="str">
        <f aca="false">IFERROR(IF(Análisis!$K$9="🔴 QUIEBRE",Análisis!C9,""),"—")</f>
        <v>Alimentos Secos</v>
      </c>
      <c r="D10" s="67" t="n">
        <f aca="false">IFERROR(IF(Análisis!$K$9="🔴 QUIEBRE",Análisis!D9,""),"—")</f>
        <v>24</v>
      </c>
      <c r="E10" s="69" t="n">
        <f aca="false">IFERROR(IF(Análisis!$K$9="🔴 QUIEBRE",Análisis!E9,""),"—")</f>
        <v>374.833333333333</v>
      </c>
      <c r="F10" s="70" t="n">
        <f aca="false">IFERROR(IF(Análisis!$K$9="🔴 QUIEBRE",Análisis!F9,""),"—")</f>
        <v>1.92085371276123</v>
      </c>
      <c r="G10" s="67" t="n">
        <f aca="false">IFERROR(IF(Análisis!$K$9="🔴 QUIEBRE",Análisis!I9,""),"—")</f>
        <v>69</v>
      </c>
      <c r="H10" s="67" t="str">
        <f aca="false">IFERROR(IF(Análisis!$K$9="🔴 QUIEBRE",Análisis!M9,""),"—")</f>
        <v>A</v>
      </c>
      <c r="I10" s="71" t="n">
        <f aca="false">IFERROR(IF(Análisis!$K$9="🔴 QUIEBRE",Análisis!H9,""),"—")</f>
        <v>36</v>
      </c>
      <c r="J10" s="67" t="str">
        <f aca="false">IFERROR(IF(Análisis!$K$9="🔴 QUIEBRE",Análisis!O9,""),"—")</f>
        <v>REPOSICIÓN URGENTE</v>
      </c>
    </row>
    <row r="11" customFormat="false" ht="15.75" hidden="false" customHeight="true" outlineLevel="0" collapsed="false">
      <c r="A11" s="67" t="str">
        <f aca="false">IFERROR(IF(Análisis!$K$10="🔴 QUIEBRE",Análisis!A10,""),"—")</f>
        <v/>
      </c>
      <c r="B11" s="68" t="str">
        <f aca="false">IFERROR(IF(Análisis!$K$10="🔴 QUIEBRE",Análisis!B10,""),"—")</f>
        <v/>
      </c>
      <c r="C11" s="67" t="str">
        <f aca="false">IFERROR(IF(Análisis!$K$10="🔴 QUIEBRE",Análisis!C10,""),"—")</f>
        <v/>
      </c>
      <c r="D11" s="67" t="str">
        <f aca="false">IFERROR(IF(Análisis!$K$10="🔴 QUIEBRE",Análisis!D10,""),"—")</f>
        <v/>
      </c>
      <c r="E11" s="69" t="str">
        <f aca="false">IFERROR(IF(Análisis!$K$10="🔴 QUIEBRE",Análisis!E10,""),"—")</f>
        <v/>
      </c>
      <c r="F11" s="70" t="str">
        <f aca="false">IFERROR(IF(Análisis!$K$10="🔴 QUIEBRE",Análisis!F10,""),"—")</f>
        <v/>
      </c>
      <c r="G11" s="67" t="str">
        <f aca="false">IFERROR(IF(Análisis!$K$10="🔴 QUIEBRE",Análisis!I10,""),"—")</f>
        <v/>
      </c>
      <c r="H11" s="67" t="str">
        <f aca="false">IFERROR(IF(Análisis!$K$10="🔴 QUIEBRE",Análisis!M10,""),"—")</f>
        <v/>
      </c>
      <c r="I11" s="71" t="str">
        <f aca="false">IFERROR(IF(Análisis!$K$10="🔴 QUIEBRE",Análisis!H10,""),"—")</f>
        <v/>
      </c>
      <c r="J11" s="67" t="str">
        <f aca="false">IFERROR(IF(Análisis!$K$10="🔴 QUIEBRE",Análisis!O10,""),"—")</f>
        <v/>
      </c>
    </row>
    <row r="12" customFormat="false" ht="15.75" hidden="false" customHeight="true" outlineLevel="0" collapsed="false">
      <c r="A12" s="67" t="str">
        <f aca="false">IFERROR(IF(Análisis!$K$11="🔴 QUIEBRE",Análisis!A11,""),"—")</f>
        <v/>
      </c>
      <c r="B12" s="68" t="str">
        <f aca="false">IFERROR(IF(Análisis!$K$11="🔴 QUIEBRE",Análisis!B11,""),"—")</f>
        <v/>
      </c>
      <c r="C12" s="67" t="str">
        <f aca="false">IFERROR(IF(Análisis!$K$11="🔴 QUIEBRE",Análisis!C11,""),"—")</f>
        <v/>
      </c>
      <c r="D12" s="67" t="str">
        <f aca="false">IFERROR(IF(Análisis!$K$11="🔴 QUIEBRE",Análisis!D11,""),"—")</f>
        <v/>
      </c>
      <c r="E12" s="69" t="str">
        <f aca="false">IFERROR(IF(Análisis!$K$11="🔴 QUIEBRE",Análisis!E11,""),"—")</f>
        <v/>
      </c>
      <c r="F12" s="70" t="str">
        <f aca="false">IFERROR(IF(Análisis!$K$11="🔴 QUIEBRE",Análisis!F11,""),"—")</f>
        <v/>
      </c>
      <c r="G12" s="67" t="str">
        <f aca="false">IFERROR(IF(Análisis!$K$11="🔴 QUIEBRE",Análisis!I11,""),"—")</f>
        <v/>
      </c>
      <c r="H12" s="67" t="str">
        <f aca="false">IFERROR(IF(Análisis!$K$11="🔴 QUIEBRE",Análisis!M11,""),"—")</f>
        <v/>
      </c>
      <c r="I12" s="71" t="str">
        <f aca="false">IFERROR(IF(Análisis!$K$11="🔴 QUIEBRE",Análisis!H11,""),"—")</f>
        <v/>
      </c>
      <c r="J12" s="67" t="str">
        <f aca="false">IFERROR(IF(Análisis!$K$11="🔴 QUIEBRE",Análisis!O11,""),"—")</f>
        <v/>
      </c>
    </row>
    <row r="13" customFormat="false" ht="15.75" hidden="false" customHeight="true" outlineLevel="0" collapsed="false">
      <c r="A13" s="67" t="str">
        <f aca="false">IFERROR(IF(Análisis!$K$12="🔴 QUIEBRE",Análisis!A12,""),"—")</f>
        <v/>
      </c>
      <c r="B13" s="68" t="str">
        <f aca="false">IFERROR(IF(Análisis!$K$12="🔴 QUIEBRE",Análisis!B12,""),"—")</f>
        <v/>
      </c>
      <c r="C13" s="67" t="str">
        <f aca="false">IFERROR(IF(Análisis!$K$12="🔴 QUIEBRE",Análisis!C12,""),"—")</f>
        <v/>
      </c>
      <c r="D13" s="67" t="str">
        <f aca="false">IFERROR(IF(Análisis!$K$12="🔴 QUIEBRE",Análisis!D12,""),"—")</f>
        <v/>
      </c>
      <c r="E13" s="69" t="str">
        <f aca="false">IFERROR(IF(Análisis!$K$12="🔴 QUIEBRE",Análisis!E12,""),"—")</f>
        <v/>
      </c>
      <c r="F13" s="70" t="str">
        <f aca="false">IFERROR(IF(Análisis!$K$12="🔴 QUIEBRE",Análisis!F12,""),"—")</f>
        <v/>
      </c>
      <c r="G13" s="67" t="str">
        <f aca="false">IFERROR(IF(Análisis!$K$12="🔴 QUIEBRE",Análisis!I12,""),"—")</f>
        <v/>
      </c>
      <c r="H13" s="67" t="str">
        <f aca="false">IFERROR(IF(Análisis!$K$12="🔴 QUIEBRE",Análisis!M12,""),"—")</f>
        <v/>
      </c>
      <c r="I13" s="71" t="str">
        <f aca="false">IFERROR(IF(Análisis!$K$12="🔴 QUIEBRE",Análisis!H12,""),"—")</f>
        <v/>
      </c>
      <c r="J13" s="67" t="str">
        <f aca="false">IFERROR(IF(Análisis!$K$12="🔴 QUIEBRE",Análisis!O12,""),"—")</f>
        <v/>
      </c>
    </row>
    <row r="14" customFormat="false" ht="15.75" hidden="false" customHeight="true" outlineLevel="0" collapsed="false">
      <c r="A14" s="67" t="str">
        <f aca="false">IFERROR(IF(Análisis!$K$13="🔴 QUIEBRE",Análisis!A13,""),"—")</f>
        <v/>
      </c>
      <c r="B14" s="68" t="str">
        <f aca="false">IFERROR(IF(Análisis!$K$13="🔴 QUIEBRE",Análisis!B13,""),"—")</f>
        <v/>
      </c>
      <c r="C14" s="67" t="str">
        <f aca="false">IFERROR(IF(Análisis!$K$13="🔴 QUIEBRE",Análisis!C13,""),"—")</f>
        <v/>
      </c>
      <c r="D14" s="67" t="str">
        <f aca="false">IFERROR(IF(Análisis!$K$13="🔴 QUIEBRE",Análisis!D13,""),"—")</f>
        <v/>
      </c>
      <c r="E14" s="69" t="str">
        <f aca="false">IFERROR(IF(Análisis!$K$13="🔴 QUIEBRE",Análisis!E13,""),"—")</f>
        <v/>
      </c>
      <c r="F14" s="70" t="str">
        <f aca="false">IFERROR(IF(Análisis!$K$13="🔴 QUIEBRE",Análisis!F13,""),"—")</f>
        <v/>
      </c>
      <c r="G14" s="67" t="str">
        <f aca="false">IFERROR(IF(Análisis!$K$13="🔴 QUIEBRE",Análisis!I13,""),"—")</f>
        <v/>
      </c>
      <c r="H14" s="67" t="str">
        <f aca="false">IFERROR(IF(Análisis!$K$13="🔴 QUIEBRE",Análisis!M13,""),"—")</f>
        <v/>
      </c>
      <c r="I14" s="71" t="str">
        <f aca="false">IFERROR(IF(Análisis!$K$13="🔴 QUIEBRE",Análisis!H13,""),"—")</f>
        <v/>
      </c>
      <c r="J14" s="67" t="str">
        <f aca="false">IFERROR(IF(Análisis!$K$13="🔴 QUIEBRE",Análisis!O13,""),"—")</f>
        <v/>
      </c>
    </row>
    <row r="15" customFormat="false" ht="15.75" hidden="false" customHeight="true" outlineLevel="0" collapsed="false">
      <c r="A15" s="67" t="str">
        <f aca="false">IFERROR(IF(Análisis!$K$14="🔴 QUIEBRE",Análisis!A14,""),"—")</f>
        <v/>
      </c>
      <c r="B15" s="68" t="str">
        <f aca="false">IFERROR(IF(Análisis!$K$14="🔴 QUIEBRE",Análisis!B14,""),"—")</f>
        <v/>
      </c>
      <c r="C15" s="67" t="str">
        <f aca="false">IFERROR(IF(Análisis!$K$14="🔴 QUIEBRE",Análisis!C14,""),"—")</f>
        <v/>
      </c>
      <c r="D15" s="67" t="str">
        <f aca="false">IFERROR(IF(Análisis!$K$14="🔴 QUIEBRE",Análisis!D14,""),"—")</f>
        <v/>
      </c>
      <c r="E15" s="69" t="str">
        <f aca="false">IFERROR(IF(Análisis!$K$14="🔴 QUIEBRE",Análisis!E14,""),"—")</f>
        <v/>
      </c>
      <c r="F15" s="70" t="str">
        <f aca="false">IFERROR(IF(Análisis!$K$14="🔴 QUIEBRE",Análisis!F14,""),"—")</f>
        <v/>
      </c>
      <c r="G15" s="67" t="str">
        <f aca="false">IFERROR(IF(Análisis!$K$14="🔴 QUIEBRE",Análisis!I14,""),"—")</f>
        <v/>
      </c>
      <c r="H15" s="67" t="str">
        <f aca="false">IFERROR(IF(Análisis!$K$14="🔴 QUIEBRE",Análisis!M14,""),"—")</f>
        <v/>
      </c>
      <c r="I15" s="71" t="str">
        <f aca="false">IFERROR(IF(Análisis!$K$14="🔴 QUIEBRE",Análisis!H14,""),"—")</f>
        <v/>
      </c>
      <c r="J15" s="67" t="str">
        <f aca="false">IFERROR(IF(Análisis!$K$14="🔴 QUIEBRE",Análisis!O14,""),"—")</f>
        <v/>
      </c>
    </row>
    <row r="16" customFormat="false" ht="15.75" hidden="false" customHeight="true" outlineLevel="0" collapsed="false">
      <c r="A16" s="67" t="str">
        <f aca="false">IFERROR(IF(Análisis!$K$15="🔴 QUIEBRE",Análisis!A15,""),"—")</f>
        <v/>
      </c>
      <c r="B16" s="68" t="str">
        <f aca="false">IFERROR(IF(Análisis!$K$15="🔴 QUIEBRE",Análisis!B15,""),"—")</f>
        <v/>
      </c>
      <c r="C16" s="67" t="str">
        <f aca="false">IFERROR(IF(Análisis!$K$15="🔴 QUIEBRE",Análisis!C15,""),"—")</f>
        <v/>
      </c>
      <c r="D16" s="67" t="str">
        <f aca="false">IFERROR(IF(Análisis!$K$15="🔴 QUIEBRE",Análisis!D15,""),"—")</f>
        <v/>
      </c>
      <c r="E16" s="69" t="str">
        <f aca="false">IFERROR(IF(Análisis!$K$15="🔴 QUIEBRE",Análisis!E15,""),"—")</f>
        <v/>
      </c>
      <c r="F16" s="70" t="str">
        <f aca="false">IFERROR(IF(Análisis!$K$15="🔴 QUIEBRE",Análisis!F15,""),"—")</f>
        <v/>
      </c>
      <c r="G16" s="67" t="str">
        <f aca="false">IFERROR(IF(Análisis!$K$15="🔴 QUIEBRE",Análisis!I15,""),"—")</f>
        <v/>
      </c>
      <c r="H16" s="67" t="str">
        <f aca="false">IFERROR(IF(Análisis!$K$15="🔴 QUIEBRE",Análisis!M15,""),"—")</f>
        <v/>
      </c>
      <c r="I16" s="71" t="str">
        <f aca="false">IFERROR(IF(Análisis!$K$15="🔴 QUIEBRE",Análisis!H15,""),"—")</f>
        <v/>
      </c>
      <c r="J16" s="67" t="str">
        <f aca="false">IFERROR(IF(Análisis!$K$15="🔴 QUIEBRE",Análisis!O15,""),"—")</f>
        <v/>
      </c>
    </row>
    <row r="17" customFormat="false" ht="15.75" hidden="false" customHeight="true" outlineLevel="0" collapsed="false">
      <c r="A17" s="67" t="str">
        <f aca="false">IFERROR(IF(Análisis!$K$16="🔴 QUIEBRE",Análisis!A16,""),"—")</f>
        <v>SKU-012</v>
      </c>
      <c r="B17" s="68" t="str">
        <f aca="false">IFERROR(IF(Análisis!$K$16="🔴 QUIEBRE",Análisis!B16,""),"—")</f>
        <v>Sal Fina 1kg</v>
      </c>
      <c r="C17" s="67" t="str">
        <f aca="false">IFERROR(IF(Análisis!$K$16="🔴 QUIEBRE",Análisis!C16,""),"—")</f>
        <v>Alimentos Secos</v>
      </c>
      <c r="D17" s="67" t="n">
        <f aca="false">IFERROR(IF(Análisis!$K$16="🔴 QUIEBRE",Análisis!D16,""),"—")</f>
        <v>88</v>
      </c>
      <c r="E17" s="69" t="n">
        <f aca="false">IFERROR(IF(Análisis!$K$16="🔴 QUIEBRE",Análisis!E16,""),"—")</f>
        <v>406.666666666667</v>
      </c>
      <c r="F17" s="70" t="n">
        <f aca="false">IFERROR(IF(Análisis!$K$16="🔴 QUIEBRE",Análisis!F16,""),"—")</f>
        <v>6.49180327868853</v>
      </c>
      <c r="G17" s="67" t="n">
        <f aca="false">IFERROR(IF(Análisis!$K$16="🔴 QUIEBRE",Análisis!I16,""),"—")</f>
        <v>91</v>
      </c>
      <c r="H17" s="67" t="str">
        <f aca="false">IFERROR(IF(Análisis!$K$16="🔴 QUIEBRE",Análisis!M16,""),"—")</f>
        <v>A</v>
      </c>
      <c r="I17" s="71" t="n">
        <f aca="false">IFERROR(IF(Análisis!$K$16="🔴 QUIEBRE",Análisis!H16,""),"—")</f>
        <v>74.8</v>
      </c>
      <c r="J17" s="67" t="str">
        <f aca="false">IFERROR(IF(Análisis!$K$16="🔴 QUIEBRE",Análisis!O16,""),"—")</f>
        <v>REPOSICIÓN URGENTE</v>
      </c>
    </row>
    <row r="18" customFormat="false" ht="15.75" hidden="false" customHeight="true" outlineLevel="0" collapsed="false">
      <c r="A18" s="67" t="str">
        <f aca="false">IFERROR(IF(Análisis!$K$17="🔴 QUIEBRE",Análisis!A17,""),"—")</f>
        <v/>
      </c>
      <c r="B18" s="68" t="str">
        <f aca="false">IFERROR(IF(Análisis!$K$17="🔴 QUIEBRE",Análisis!B17,""),"—")</f>
        <v/>
      </c>
      <c r="C18" s="67" t="str">
        <f aca="false">IFERROR(IF(Análisis!$K$17="🔴 QUIEBRE",Análisis!C17,""),"—")</f>
        <v/>
      </c>
      <c r="D18" s="67" t="str">
        <f aca="false">IFERROR(IF(Análisis!$K$17="🔴 QUIEBRE",Análisis!D17,""),"—")</f>
        <v/>
      </c>
      <c r="E18" s="69" t="str">
        <f aca="false">IFERROR(IF(Análisis!$K$17="🔴 QUIEBRE",Análisis!E17,""),"—")</f>
        <v/>
      </c>
      <c r="F18" s="70" t="str">
        <f aca="false">IFERROR(IF(Análisis!$K$17="🔴 QUIEBRE",Análisis!F17,""),"—")</f>
        <v/>
      </c>
      <c r="G18" s="67" t="str">
        <f aca="false">IFERROR(IF(Análisis!$K$17="🔴 QUIEBRE",Análisis!I17,""),"—")</f>
        <v/>
      </c>
      <c r="H18" s="67" t="str">
        <f aca="false">IFERROR(IF(Análisis!$K$17="🔴 QUIEBRE",Análisis!M17,""),"—")</f>
        <v/>
      </c>
      <c r="I18" s="71" t="str">
        <f aca="false">IFERROR(IF(Análisis!$K$17="🔴 QUIEBRE",Análisis!H17,""),"—")</f>
        <v/>
      </c>
      <c r="J18" s="67" t="str">
        <f aca="false">IFERROR(IF(Análisis!$K$17="🔴 QUIEBRE",Análisis!O17,""),"—")</f>
        <v/>
      </c>
    </row>
    <row r="19" customFormat="false" ht="15.75" hidden="false" customHeight="true" outlineLevel="0" collapsed="false">
      <c r="A19" s="67" t="str">
        <f aca="false">IFERROR(IF(Análisis!$K$18="🔴 QUIEBRE",Análisis!A18,""),"—")</f>
        <v/>
      </c>
      <c r="B19" s="68" t="str">
        <f aca="false">IFERROR(IF(Análisis!$K$18="🔴 QUIEBRE",Análisis!B18,""),"—")</f>
        <v/>
      </c>
      <c r="C19" s="67" t="str">
        <f aca="false">IFERROR(IF(Análisis!$K$18="🔴 QUIEBRE",Análisis!C18,""),"—")</f>
        <v/>
      </c>
      <c r="D19" s="67" t="str">
        <f aca="false">IFERROR(IF(Análisis!$K$18="🔴 QUIEBRE",Análisis!D18,""),"—")</f>
        <v/>
      </c>
      <c r="E19" s="69" t="str">
        <f aca="false">IFERROR(IF(Análisis!$K$18="🔴 QUIEBRE",Análisis!E18,""),"—")</f>
        <v/>
      </c>
      <c r="F19" s="70" t="str">
        <f aca="false">IFERROR(IF(Análisis!$K$18="🔴 QUIEBRE",Análisis!F18,""),"—")</f>
        <v/>
      </c>
      <c r="G19" s="67" t="str">
        <f aca="false">IFERROR(IF(Análisis!$K$18="🔴 QUIEBRE",Análisis!I18,""),"—")</f>
        <v/>
      </c>
      <c r="H19" s="67" t="str">
        <f aca="false">IFERROR(IF(Análisis!$K$18="🔴 QUIEBRE",Análisis!M18,""),"—")</f>
        <v/>
      </c>
      <c r="I19" s="71" t="str">
        <f aca="false">IFERROR(IF(Análisis!$K$18="🔴 QUIEBRE",Análisis!H18,""),"—")</f>
        <v/>
      </c>
      <c r="J19" s="67" t="str">
        <f aca="false">IFERROR(IF(Análisis!$K$18="🔴 QUIEBRE",Análisis!O18,""),"—")</f>
        <v/>
      </c>
    </row>
    <row r="20" customFormat="false" ht="15.75" hidden="false" customHeight="true" outlineLevel="0" collapsed="false">
      <c r="A20" s="67" t="str">
        <f aca="false">IFERROR(IF(Análisis!$K$19="🔴 QUIEBRE",Análisis!A19,""),"—")</f>
        <v/>
      </c>
      <c r="B20" s="68" t="str">
        <f aca="false">IFERROR(IF(Análisis!$K$19="🔴 QUIEBRE",Análisis!B19,""),"—")</f>
        <v/>
      </c>
      <c r="C20" s="67" t="str">
        <f aca="false">IFERROR(IF(Análisis!$K$19="🔴 QUIEBRE",Análisis!C19,""),"—")</f>
        <v/>
      </c>
      <c r="D20" s="67" t="str">
        <f aca="false">IFERROR(IF(Análisis!$K$19="🔴 QUIEBRE",Análisis!D19,""),"—")</f>
        <v/>
      </c>
      <c r="E20" s="69" t="str">
        <f aca="false">IFERROR(IF(Análisis!$K$19="🔴 QUIEBRE",Análisis!E19,""),"—")</f>
        <v/>
      </c>
      <c r="F20" s="70" t="str">
        <f aca="false">IFERROR(IF(Análisis!$K$19="🔴 QUIEBRE",Análisis!F19,""),"—")</f>
        <v/>
      </c>
      <c r="G20" s="67" t="str">
        <f aca="false">IFERROR(IF(Análisis!$K$19="🔴 QUIEBRE",Análisis!I19,""),"—")</f>
        <v/>
      </c>
      <c r="H20" s="67" t="str">
        <f aca="false">IFERROR(IF(Análisis!$K$19="🔴 QUIEBRE",Análisis!M19,""),"—")</f>
        <v/>
      </c>
      <c r="I20" s="71" t="str">
        <f aca="false">IFERROR(IF(Análisis!$K$19="🔴 QUIEBRE",Análisis!H19,""),"—")</f>
        <v/>
      </c>
      <c r="J20" s="67" t="str">
        <f aca="false">IFERROR(IF(Análisis!$K$19="🔴 QUIEBRE",Análisis!O19,""),"—")</f>
        <v/>
      </c>
    </row>
    <row r="21" customFormat="false" ht="15.75" hidden="false" customHeight="true" outlineLevel="0" collapsed="false">
      <c r="A21" s="67" t="str">
        <f aca="false">IFERROR(IF(Análisis!$K$20="🔴 QUIEBRE",Análisis!A20,""),"—")</f>
        <v/>
      </c>
      <c r="B21" s="68" t="str">
        <f aca="false">IFERROR(IF(Análisis!$K$20="🔴 QUIEBRE",Análisis!B20,""),"—")</f>
        <v/>
      </c>
      <c r="C21" s="67" t="str">
        <f aca="false">IFERROR(IF(Análisis!$K$20="🔴 QUIEBRE",Análisis!C20,""),"—")</f>
        <v/>
      </c>
      <c r="D21" s="67" t="str">
        <f aca="false">IFERROR(IF(Análisis!$K$20="🔴 QUIEBRE",Análisis!D20,""),"—")</f>
        <v/>
      </c>
      <c r="E21" s="69" t="str">
        <f aca="false">IFERROR(IF(Análisis!$K$20="🔴 QUIEBRE",Análisis!E20,""),"—")</f>
        <v/>
      </c>
      <c r="F21" s="70" t="str">
        <f aca="false">IFERROR(IF(Análisis!$K$20="🔴 QUIEBRE",Análisis!F20,""),"—")</f>
        <v/>
      </c>
      <c r="G21" s="67" t="str">
        <f aca="false">IFERROR(IF(Análisis!$K$20="🔴 QUIEBRE",Análisis!I20,""),"—")</f>
        <v/>
      </c>
      <c r="H21" s="67" t="str">
        <f aca="false">IFERROR(IF(Análisis!$K$20="🔴 QUIEBRE",Análisis!M20,""),"—")</f>
        <v/>
      </c>
      <c r="I21" s="71" t="str">
        <f aca="false">IFERROR(IF(Análisis!$K$20="🔴 QUIEBRE",Análisis!H20,""),"—")</f>
        <v/>
      </c>
      <c r="J21" s="67" t="str">
        <f aca="false">IFERROR(IF(Análisis!$K$20="🔴 QUIEBRE",Análisis!O20,""),"—")</f>
        <v/>
      </c>
    </row>
    <row r="22" customFormat="false" ht="15.75" hidden="false" customHeight="true" outlineLevel="0" collapsed="false">
      <c r="A22" s="67" t="str">
        <f aca="false">IFERROR(IF(Análisis!$K$21="🔴 QUIEBRE",Análisis!A21,""),"—")</f>
        <v/>
      </c>
      <c r="B22" s="68" t="str">
        <f aca="false">IFERROR(IF(Análisis!$K$21="🔴 QUIEBRE",Análisis!B21,""),"—")</f>
        <v/>
      </c>
      <c r="C22" s="67" t="str">
        <f aca="false">IFERROR(IF(Análisis!$K$21="🔴 QUIEBRE",Análisis!C21,""),"—")</f>
        <v/>
      </c>
      <c r="D22" s="67" t="str">
        <f aca="false">IFERROR(IF(Análisis!$K$21="🔴 QUIEBRE",Análisis!D21,""),"—")</f>
        <v/>
      </c>
      <c r="E22" s="69" t="str">
        <f aca="false">IFERROR(IF(Análisis!$K$21="🔴 QUIEBRE",Análisis!E21,""),"—")</f>
        <v/>
      </c>
      <c r="F22" s="70" t="str">
        <f aca="false">IFERROR(IF(Análisis!$K$21="🔴 QUIEBRE",Análisis!F21,""),"—")</f>
        <v/>
      </c>
      <c r="G22" s="67" t="str">
        <f aca="false">IFERROR(IF(Análisis!$K$21="🔴 QUIEBRE",Análisis!I21,""),"—")</f>
        <v/>
      </c>
      <c r="H22" s="67" t="str">
        <f aca="false">IFERROR(IF(Análisis!$K$21="🔴 QUIEBRE",Análisis!M21,""),"—")</f>
        <v/>
      </c>
      <c r="I22" s="71" t="str">
        <f aca="false">IFERROR(IF(Análisis!$K$21="🔴 QUIEBRE",Análisis!H21,""),"—")</f>
        <v/>
      </c>
      <c r="J22" s="67" t="str">
        <f aca="false">IFERROR(IF(Análisis!$K$21="🔴 QUIEBRE",Análisis!O21,""),"—")</f>
        <v/>
      </c>
    </row>
    <row r="23" customFormat="false" ht="15.75" hidden="false" customHeight="true" outlineLevel="0" collapsed="false">
      <c r="A23" s="67" t="str">
        <f aca="false">IFERROR(IF(Análisis!$K$22="🔴 QUIEBRE",Análisis!A22,""),"—")</f>
        <v/>
      </c>
      <c r="B23" s="68" t="str">
        <f aca="false">IFERROR(IF(Análisis!$K$22="🔴 QUIEBRE",Análisis!B22,""),"—")</f>
        <v/>
      </c>
      <c r="C23" s="67" t="str">
        <f aca="false">IFERROR(IF(Análisis!$K$22="🔴 QUIEBRE",Análisis!C22,""),"—")</f>
        <v/>
      </c>
      <c r="D23" s="67" t="str">
        <f aca="false">IFERROR(IF(Análisis!$K$22="🔴 QUIEBRE",Análisis!D22,""),"—")</f>
        <v/>
      </c>
      <c r="E23" s="69" t="str">
        <f aca="false">IFERROR(IF(Análisis!$K$22="🔴 QUIEBRE",Análisis!E22,""),"—")</f>
        <v/>
      </c>
      <c r="F23" s="70" t="str">
        <f aca="false">IFERROR(IF(Análisis!$K$22="🔴 QUIEBRE",Análisis!F22,""),"—")</f>
        <v/>
      </c>
      <c r="G23" s="67" t="str">
        <f aca="false">IFERROR(IF(Análisis!$K$22="🔴 QUIEBRE",Análisis!I22,""),"—")</f>
        <v/>
      </c>
      <c r="H23" s="67" t="str">
        <f aca="false">IFERROR(IF(Análisis!$K$22="🔴 QUIEBRE",Análisis!M22,""),"—")</f>
        <v/>
      </c>
      <c r="I23" s="71" t="str">
        <f aca="false">IFERROR(IF(Análisis!$K$22="🔴 QUIEBRE",Análisis!H22,""),"—")</f>
        <v/>
      </c>
      <c r="J23" s="67" t="str">
        <f aca="false">IFERROR(IF(Análisis!$K$22="🔴 QUIEBRE",Análisis!O22,""),"—")</f>
        <v/>
      </c>
    </row>
    <row r="24" customFormat="false" ht="15.75" hidden="false" customHeight="true" outlineLevel="0" collapsed="false">
      <c r="A24" s="67" t="str">
        <f aca="false">IFERROR(IF(Análisis!$K$23="🔴 QUIEBRE",Análisis!A23,""),"—")</f>
        <v/>
      </c>
      <c r="B24" s="68" t="str">
        <f aca="false">IFERROR(IF(Análisis!$K$23="🔴 QUIEBRE",Análisis!B23,""),"—")</f>
        <v/>
      </c>
      <c r="C24" s="67" t="str">
        <f aca="false">IFERROR(IF(Análisis!$K$23="🔴 QUIEBRE",Análisis!C23,""),"—")</f>
        <v/>
      </c>
      <c r="D24" s="67" t="str">
        <f aca="false">IFERROR(IF(Análisis!$K$23="🔴 QUIEBRE",Análisis!D23,""),"—")</f>
        <v/>
      </c>
      <c r="E24" s="69" t="str">
        <f aca="false">IFERROR(IF(Análisis!$K$23="🔴 QUIEBRE",Análisis!E23,""),"—")</f>
        <v/>
      </c>
      <c r="F24" s="70" t="str">
        <f aca="false">IFERROR(IF(Análisis!$K$23="🔴 QUIEBRE",Análisis!F23,""),"—")</f>
        <v/>
      </c>
      <c r="G24" s="67" t="str">
        <f aca="false">IFERROR(IF(Análisis!$K$23="🔴 QUIEBRE",Análisis!I23,""),"—")</f>
        <v/>
      </c>
      <c r="H24" s="67" t="str">
        <f aca="false">IFERROR(IF(Análisis!$K$23="🔴 QUIEBRE",Análisis!M23,""),"—")</f>
        <v/>
      </c>
      <c r="I24" s="71" t="str">
        <f aca="false">IFERROR(IF(Análisis!$K$23="🔴 QUIEBRE",Análisis!H23,""),"—")</f>
        <v/>
      </c>
      <c r="J24" s="67" t="str">
        <f aca="false">IFERROR(IF(Análisis!$K$23="🔴 QUIEBRE",Análisis!O23,""),"—")</f>
        <v/>
      </c>
    </row>
    <row r="25" customFormat="false" ht="15.75" hidden="false" customHeight="true" outlineLevel="0" collapsed="false">
      <c r="A25" s="67" t="str">
        <f aca="false">IFERROR(IF(Análisis!$K$24="🔴 QUIEBRE",Análisis!A24,""),"—")</f>
        <v/>
      </c>
      <c r="B25" s="68" t="str">
        <f aca="false">IFERROR(IF(Análisis!$K$24="🔴 QUIEBRE",Análisis!B24,""),"—")</f>
        <v/>
      </c>
      <c r="C25" s="67" t="str">
        <f aca="false">IFERROR(IF(Análisis!$K$24="🔴 QUIEBRE",Análisis!C24,""),"—")</f>
        <v/>
      </c>
      <c r="D25" s="67" t="str">
        <f aca="false">IFERROR(IF(Análisis!$K$24="🔴 QUIEBRE",Análisis!D24,""),"—")</f>
        <v/>
      </c>
      <c r="E25" s="69" t="str">
        <f aca="false">IFERROR(IF(Análisis!$K$24="🔴 QUIEBRE",Análisis!E24,""),"—")</f>
        <v/>
      </c>
      <c r="F25" s="70" t="str">
        <f aca="false">IFERROR(IF(Análisis!$K$24="🔴 QUIEBRE",Análisis!F24,""),"—")</f>
        <v/>
      </c>
      <c r="G25" s="67" t="str">
        <f aca="false">IFERROR(IF(Análisis!$K$24="🔴 QUIEBRE",Análisis!I24,""),"—")</f>
        <v/>
      </c>
      <c r="H25" s="67" t="str">
        <f aca="false">IFERROR(IF(Análisis!$K$24="🔴 QUIEBRE",Análisis!M24,""),"—")</f>
        <v/>
      </c>
      <c r="I25" s="71" t="str">
        <f aca="false">IFERROR(IF(Análisis!$K$24="🔴 QUIEBRE",Análisis!H24,""),"—")</f>
        <v/>
      </c>
      <c r="J25" s="67" t="str">
        <f aca="false">IFERROR(IF(Análisis!$K$24="🔴 QUIEBRE",Análisis!O24,""),"—")</f>
        <v/>
      </c>
    </row>
    <row r="26" customFormat="false" ht="15.75" hidden="false" customHeight="true" outlineLevel="0" collapsed="false">
      <c r="A26" s="67" t="str">
        <f aca="false">IFERROR(IF(Análisis!$K$25="🔴 QUIEBRE",Análisis!A25,""),"—")</f>
        <v/>
      </c>
      <c r="B26" s="68" t="str">
        <f aca="false">IFERROR(IF(Análisis!$K$25="🔴 QUIEBRE",Análisis!B25,""),"—")</f>
        <v/>
      </c>
      <c r="C26" s="67" t="str">
        <f aca="false">IFERROR(IF(Análisis!$K$25="🔴 QUIEBRE",Análisis!C25,""),"—")</f>
        <v/>
      </c>
      <c r="D26" s="67" t="str">
        <f aca="false">IFERROR(IF(Análisis!$K$25="🔴 QUIEBRE",Análisis!D25,""),"—")</f>
        <v/>
      </c>
      <c r="E26" s="69" t="str">
        <f aca="false">IFERROR(IF(Análisis!$K$25="🔴 QUIEBRE",Análisis!E25,""),"—")</f>
        <v/>
      </c>
      <c r="F26" s="70" t="str">
        <f aca="false">IFERROR(IF(Análisis!$K$25="🔴 QUIEBRE",Análisis!F25,""),"—")</f>
        <v/>
      </c>
      <c r="G26" s="67" t="str">
        <f aca="false">IFERROR(IF(Análisis!$K$25="🔴 QUIEBRE",Análisis!I25,""),"—")</f>
        <v/>
      </c>
      <c r="H26" s="67" t="str">
        <f aca="false">IFERROR(IF(Análisis!$K$25="🔴 QUIEBRE",Análisis!M25,""),"—")</f>
        <v/>
      </c>
      <c r="I26" s="71" t="str">
        <f aca="false">IFERROR(IF(Análisis!$K$25="🔴 QUIEBRE",Análisis!H25,""),"—")</f>
        <v/>
      </c>
      <c r="J26" s="67" t="str">
        <f aca="false">IFERROR(IF(Análisis!$K$25="🔴 QUIEBRE",Análisis!O25,""),"—")</f>
        <v/>
      </c>
    </row>
    <row r="27" customFormat="false" ht="15.75" hidden="false" customHeight="true" outlineLevel="0" collapsed="false">
      <c r="A27" s="67" t="str">
        <f aca="false">IFERROR(IF(Análisis!$K$26="🔴 QUIEBRE",Análisis!A26,""),"—")</f>
        <v>SKU-022</v>
      </c>
      <c r="B27" s="68" t="str">
        <f aca="false">IFERROR(IF(Análisis!$K$26="🔴 QUIEBRE",Análisis!B26,""),"—")</f>
        <v>Mayonesa 500g</v>
      </c>
      <c r="C27" s="67" t="str">
        <f aca="false">IFERROR(IF(Análisis!$K$26="🔴 QUIEBRE",Análisis!C26,""),"—")</f>
        <v>Alimentos Secos</v>
      </c>
      <c r="D27" s="67" t="n">
        <f aca="false">IFERROR(IF(Análisis!$K$26="🔴 QUIEBRE",Análisis!D26,""),"—")</f>
        <v>25</v>
      </c>
      <c r="E27" s="69" t="n">
        <f aca="false">IFERROR(IF(Análisis!$K$26="🔴 QUIEBRE",Análisis!E26,""),"—")</f>
        <v>406.833333333333</v>
      </c>
      <c r="F27" s="70" t="n">
        <f aca="false">IFERROR(IF(Análisis!$K$26="🔴 QUIEBRE",Análisis!F26,""),"—")</f>
        <v>1.84350675952479</v>
      </c>
      <c r="G27" s="67" t="n">
        <f aca="false">IFERROR(IF(Análisis!$K$26="🔴 QUIEBRE",Análisis!I26,""),"—")</f>
        <v>105</v>
      </c>
      <c r="H27" s="67" t="str">
        <f aca="false">IFERROR(IF(Análisis!$K$26="🔴 QUIEBRE",Análisis!M26,""),"—")</f>
        <v>A</v>
      </c>
      <c r="I27" s="71" t="n">
        <f aca="false">IFERROR(IF(Análisis!$K$26="🔴 QUIEBRE",Análisis!H26,""),"—")</f>
        <v>85</v>
      </c>
      <c r="J27" s="67" t="str">
        <f aca="false">IFERROR(IF(Análisis!$K$26="🔴 QUIEBRE",Análisis!O26,""),"—")</f>
        <v>REPOSICIÓN URGENTE</v>
      </c>
    </row>
    <row r="28" customFormat="false" ht="15.75" hidden="false" customHeight="true" outlineLevel="0" collapsed="false">
      <c r="A28" s="67" t="str">
        <f aca="false">IFERROR(IF(Análisis!$K$27="🔴 QUIEBRE",Análisis!A27,""),"—")</f>
        <v/>
      </c>
      <c r="B28" s="68" t="str">
        <f aca="false">IFERROR(IF(Análisis!$K$27="🔴 QUIEBRE",Análisis!B27,""),"—")</f>
        <v/>
      </c>
      <c r="C28" s="67" t="str">
        <f aca="false">IFERROR(IF(Análisis!$K$27="🔴 QUIEBRE",Análisis!C27,""),"—")</f>
        <v/>
      </c>
      <c r="D28" s="67" t="str">
        <f aca="false">IFERROR(IF(Análisis!$K$27="🔴 QUIEBRE",Análisis!D27,""),"—")</f>
        <v/>
      </c>
      <c r="E28" s="69" t="str">
        <f aca="false">IFERROR(IF(Análisis!$K$27="🔴 QUIEBRE",Análisis!E27,""),"—")</f>
        <v/>
      </c>
      <c r="F28" s="70" t="str">
        <f aca="false">IFERROR(IF(Análisis!$K$27="🔴 QUIEBRE",Análisis!F27,""),"—")</f>
        <v/>
      </c>
      <c r="G28" s="67" t="str">
        <f aca="false">IFERROR(IF(Análisis!$K$27="🔴 QUIEBRE",Análisis!I27,""),"—")</f>
        <v/>
      </c>
      <c r="H28" s="67" t="str">
        <f aca="false">IFERROR(IF(Análisis!$K$27="🔴 QUIEBRE",Análisis!M27,""),"—")</f>
        <v/>
      </c>
      <c r="I28" s="71" t="str">
        <f aca="false">IFERROR(IF(Análisis!$K$27="🔴 QUIEBRE",Análisis!H27,""),"—")</f>
        <v/>
      </c>
      <c r="J28" s="67" t="str">
        <f aca="false">IFERROR(IF(Análisis!$K$27="🔴 QUIEBRE",Análisis!O27,""),"—")</f>
        <v/>
      </c>
    </row>
    <row r="29" customFormat="false" ht="15.75" hidden="false" customHeight="true" outlineLevel="0" collapsed="false">
      <c r="A29" s="67" t="str">
        <f aca="false">IFERROR(IF(Análisis!$K$28="🔴 QUIEBRE",Análisis!A28,""),"—")</f>
        <v/>
      </c>
      <c r="B29" s="68" t="str">
        <f aca="false">IFERROR(IF(Análisis!$K$28="🔴 QUIEBRE",Análisis!B28,""),"—")</f>
        <v/>
      </c>
      <c r="C29" s="67" t="str">
        <f aca="false">IFERROR(IF(Análisis!$K$28="🔴 QUIEBRE",Análisis!C28,""),"—")</f>
        <v/>
      </c>
      <c r="D29" s="67" t="str">
        <f aca="false">IFERROR(IF(Análisis!$K$28="🔴 QUIEBRE",Análisis!D28,""),"—")</f>
        <v/>
      </c>
      <c r="E29" s="69" t="str">
        <f aca="false">IFERROR(IF(Análisis!$K$28="🔴 QUIEBRE",Análisis!E28,""),"—")</f>
        <v/>
      </c>
      <c r="F29" s="70" t="str">
        <f aca="false">IFERROR(IF(Análisis!$K$28="🔴 QUIEBRE",Análisis!F28,""),"—")</f>
        <v/>
      </c>
      <c r="G29" s="67" t="str">
        <f aca="false">IFERROR(IF(Análisis!$K$28="🔴 QUIEBRE",Análisis!I28,""),"—")</f>
        <v/>
      </c>
      <c r="H29" s="67" t="str">
        <f aca="false">IFERROR(IF(Análisis!$K$28="🔴 QUIEBRE",Análisis!M28,""),"—")</f>
        <v/>
      </c>
      <c r="I29" s="71" t="str">
        <f aca="false">IFERROR(IF(Análisis!$K$28="🔴 QUIEBRE",Análisis!H28,""),"—")</f>
        <v/>
      </c>
      <c r="J29" s="67" t="str">
        <f aca="false">IFERROR(IF(Análisis!$K$28="🔴 QUIEBRE",Análisis!O28,""),"—")</f>
        <v/>
      </c>
    </row>
    <row r="30" customFormat="false" ht="15.75" hidden="false" customHeight="true" outlineLevel="0" collapsed="false">
      <c r="A30" s="67" t="str">
        <f aca="false">IFERROR(IF(Análisis!$K$29="🔴 QUIEBRE",Análisis!A29,""),"—")</f>
        <v/>
      </c>
      <c r="B30" s="68" t="str">
        <f aca="false">IFERROR(IF(Análisis!$K$29="🔴 QUIEBRE",Análisis!B29,""),"—")</f>
        <v/>
      </c>
      <c r="C30" s="67" t="str">
        <f aca="false">IFERROR(IF(Análisis!$K$29="🔴 QUIEBRE",Análisis!C29,""),"—")</f>
        <v/>
      </c>
      <c r="D30" s="67" t="str">
        <f aca="false">IFERROR(IF(Análisis!$K$29="🔴 QUIEBRE",Análisis!D29,""),"—")</f>
        <v/>
      </c>
      <c r="E30" s="69" t="str">
        <f aca="false">IFERROR(IF(Análisis!$K$29="🔴 QUIEBRE",Análisis!E29,""),"—")</f>
        <v/>
      </c>
      <c r="F30" s="70" t="str">
        <f aca="false">IFERROR(IF(Análisis!$K$29="🔴 QUIEBRE",Análisis!F29,""),"—")</f>
        <v/>
      </c>
      <c r="G30" s="67" t="str">
        <f aca="false">IFERROR(IF(Análisis!$K$29="🔴 QUIEBRE",Análisis!I29,""),"—")</f>
        <v/>
      </c>
      <c r="H30" s="67" t="str">
        <f aca="false">IFERROR(IF(Análisis!$K$29="🔴 QUIEBRE",Análisis!M29,""),"—")</f>
        <v/>
      </c>
      <c r="I30" s="71" t="str">
        <f aca="false">IFERROR(IF(Análisis!$K$29="🔴 QUIEBRE",Análisis!H29,""),"—")</f>
        <v/>
      </c>
      <c r="J30" s="67" t="str">
        <f aca="false">IFERROR(IF(Análisis!$K$29="🔴 QUIEBRE",Análisis!O29,""),"—")</f>
        <v/>
      </c>
    </row>
    <row r="31" customFormat="false" ht="15.75" hidden="false" customHeight="true" outlineLevel="0" collapsed="false">
      <c r="A31" s="67" t="str">
        <f aca="false">IFERROR(IF(Análisis!$K$30="🔴 QUIEBRE",Análisis!A30,""),"—")</f>
        <v/>
      </c>
      <c r="B31" s="68" t="str">
        <f aca="false">IFERROR(IF(Análisis!$K$30="🔴 QUIEBRE",Análisis!B30,""),"—")</f>
        <v/>
      </c>
      <c r="C31" s="67" t="str">
        <f aca="false">IFERROR(IF(Análisis!$K$30="🔴 QUIEBRE",Análisis!C30,""),"—")</f>
        <v/>
      </c>
      <c r="D31" s="67" t="str">
        <f aca="false">IFERROR(IF(Análisis!$K$30="🔴 QUIEBRE",Análisis!D30,""),"—")</f>
        <v/>
      </c>
      <c r="E31" s="69" t="str">
        <f aca="false">IFERROR(IF(Análisis!$K$30="🔴 QUIEBRE",Análisis!E30,""),"—")</f>
        <v/>
      </c>
      <c r="F31" s="70" t="str">
        <f aca="false">IFERROR(IF(Análisis!$K$30="🔴 QUIEBRE",Análisis!F30,""),"—")</f>
        <v/>
      </c>
      <c r="G31" s="67" t="str">
        <f aca="false">IFERROR(IF(Análisis!$K$30="🔴 QUIEBRE",Análisis!I30,""),"—")</f>
        <v/>
      </c>
      <c r="H31" s="67" t="str">
        <f aca="false">IFERROR(IF(Análisis!$K$30="🔴 QUIEBRE",Análisis!M30,""),"—")</f>
        <v/>
      </c>
      <c r="I31" s="71" t="str">
        <f aca="false">IFERROR(IF(Análisis!$K$30="🔴 QUIEBRE",Análisis!H30,""),"—")</f>
        <v/>
      </c>
      <c r="J31" s="67" t="str">
        <f aca="false">IFERROR(IF(Análisis!$K$30="🔴 QUIEBRE",Análisis!O30,""),"—")</f>
        <v/>
      </c>
    </row>
    <row r="32" customFormat="false" ht="15.75" hidden="false" customHeight="true" outlineLevel="0" collapsed="false">
      <c r="A32" s="67" t="str">
        <f aca="false">IFERROR(IF(Análisis!$K$31="🔴 QUIEBRE",Análisis!A31,""),"—")</f>
        <v/>
      </c>
      <c r="B32" s="68" t="str">
        <f aca="false">IFERROR(IF(Análisis!$K$31="🔴 QUIEBRE",Análisis!B31,""),"—")</f>
        <v/>
      </c>
      <c r="C32" s="67" t="str">
        <f aca="false">IFERROR(IF(Análisis!$K$31="🔴 QUIEBRE",Análisis!C31,""),"—")</f>
        <v/>
      </c>
      <c r="D32" s="67" t="str">
        <f aca="false">IFERROR(IF(Análisis!$K$31="🔴 QUIEBRE",Análisis!D31,""),"—")</f>
        <v/>
      </c>
      <c r="E32" s="69" t="str">
        <f aca="false">IFERROR(IF(Análisis!$K$31="🔴 QUIEBRE",Análisis!E31,""),"—")</f>
        <v/>
      </c>
      <c r="F32" s="70" t="str">
        <f aca="false">IFERROR(IF(Análisis!$K$31="🔴 QUIEBRE",Análisis!F31,""),"—")</f>
        <v/>
      </c>
      <c r="G32" s="67" t="str">
        <f aca="false">IFERROR(IF(Análisis!$K$31="🔴 QUIEBRE",Análisis!I31,""),"—")</f>
        <v/>
      </c>
      <c r="H32" s="67" t="str">
        <f aca="false">IFERROR(IF(Análisis!$K$31="🔴 QUIEBRE",Análisis!M31,""),"—")</f>
        <v/>
      </c>
      <c r="I32" s="71" t="str">
        <f aca="false">IFERROR(IF(Análisis!$K$31="🔴 QUIEBRE",Análisis!H31,""),"—")</f>
        <v/>
      </c>
      <c r="J32" s="67" t="str">
        <f aca="false">IFERROR(IF(Análisis!$K$31="🔴 QUIEBRE",Análisis!O31,""),"—")</f>
        <v/>
      </c>
    </row>
    <row r="33" customFormat="false" ht="15.75" hidden="false" customHeight="true" outlineLevel="0" collapsed="false">
      <c r="A33" s="67" t="str">
        <f aca="false">IFERROR(IF(Análisis!$K$32="🔴 QUIEBRE",Análisis!A32,""),"—")</f>
        <v/>
      </c>
      <c r="B33" s="68" t="str">
        <f aca="false">IFERROR(IF(Análisis!$K$32="🔴 QUIEBRE",Análisis!B32,""),"—")</f>
        <v/>
      </c>
      <c r="C33" s="67" t="str">
        <f aca="false">IFERROR(IF(Análisis!$K$32="🔴 QUIEBRE",Análisis!C32,""),"—")</f>
        <v/>
      </c>
      <c r="D33" s="67" t="str">
        <f aca="false">IFERROR(IF(Análisis!$K$32="🔴 QUIEBRE",Análisis!D32,""),"—")</f>
        <v/>
      </c>
      <c r="E33" s="69" t="str">
        <f aca="false">IFERROR(IF(Análisis!$K$32="🔴 QUIEBRE",Análisis!E32,""),"—")</f>
        <v/>
      </c>
      <c r="F33" s="70" t="str">
        <f aca="false">IFERROR(IF(Análisis!$K$32="🔴 QUIEBRE",Análisis!F32,""),"—")</f>
        <v/>
      </c>
      <c r="G33" s="67" t="str">
        <f aca="false">IFERROR(IF(Análisis!$K$32="🔴 QUIEBRE",Análisis!I32,""),"—")</f>
        <v/>
      </c>
      <c r="H33" s="67" t="str">
        <f aca="false">IFERROR(IF(Análisis!$K$32="🔴 QUIEBRE",Análisis!M32,""),"—")</f>
        <v/>
      </c>
      <c r="I33" s="71" t="str">
        <f aca="false">IFERROR(IF(Análisis!$K$32="🔴 QUIEBRE",Análisis!H32,""),"—")</f>
        <v/>
      </c>
      <c r="J33" s="67" t="str">
        <f aca="false">IFERROR(IF(Análisis!$K$32="🔴 QUIEBRE",Análisis!O32,""),"—")</f>
        <v/>
      </c>
    </row>
    <row r="34" customFormat="false" ht="15.75" hidden="false" customHeight="true" outlineLevel="0" collapsed="false">
      <c r="A34" s="67" t="str">
        <f aca="false">IFERROR(IF(Análisis!$K$33="🔴 QUIEBRE",Análisis!A33,""),"—")</f>
        <v/>
      </c>
      <c r="B34" s="68" t="str">
        <f aca="false">IFERROR(IF(Análisis!$K$33="🔴 QUIEBRE",Análisis!B33,""),"—")</f>
        <v/>
      </c>
      <c r="C34" s="67" t="str">
        <f aca="false">IFERROR(IF(Análisis!$K$33="🔴 QUIEBRE",Análisis!C33,""),"—")</f>
        <v/>
      </c>
      <c r="D34" s="67" t="str">
        <f aca="false">IFERROR(IF(Análisis!$K$33="🔴 QUIEBRE",Análisis!D33,""),"—")</f>
        <v/>
      </c>
      <c r="E34" s="69" t="str">
        <f aca="false">IFERROR(IF(Análisis!$K$33="🔴 QUIEBRE",Análisis!E33,""),"—")</f>
        <v/>
      </c>
      <c r="F34" s="70" t="str">
        <f aca="false">IFERROR(IF(Análisis!$K$33="🔴 QUIEBRE",Análisis!F33,""),"—")</f>
        <v/>
      </c>
      <c r="G34" s="67" t="str">
        <f aca="false">IFERROR(IF(Análisis!$K$33="🔴 QUIEBRE",Análisis!I33,""),"—")</f>
        <v/>
      </c>
      <c r="H34" s="67" t="str">
        <f aca="false">IFERROR(IF(Análisis!$K$33="🔴 QUIEBRE",Análisis!M33,""),"—")</f>
        <v/>
      </c>
      <c r="I34" s="71" t="str">
        <f aca="false">IFERROR(IF(Análisis!$K$33="🔴 QUIEBRE",Análisis!H33,""),"—")</f>
        <v/>
      </c>
      <c r="J34" s="67" t="str">
        <f aca="false">IFERROR(IF(Análisis!$K$33="🔴 QUIEBRE",Análisis!O33,""),"—")</f>
        <v/>
      </c>
    </row>
    <row r="35" customFormat="false" ht="15.75" hidden="false" customHeight="true" outlineLevel="0" collapsed="false">
      <c r="A35" s="67" t="str">
        <f aca="false">IFERROR(IF(Análisis!$K$34="🔴 QUIEBRE",Análisis!A34,""),"—")</f>
        <v/>
      </c>
      <c r="B35" s="68" t="str">
        <f aca="false">IFERROR(IF(Análisis!$K$34="🔴 QUIEBRE",Análisis!B34,""),"—")</f>
        <v/>
      </c>
      <c r="C35" s="67" t="str">
        <f aca="false">IFERROR(IF(Análisis!$K$34="🔴 QUIEBRE",Análisis!C34,""),"—")</f>
        <v/>
      </c>
      <c r="D35" s="67" t="str">
        <f aca="false">IFERROR(IF(Análisis!$K$34="🔴 QUIEBRE",Análisis!D34,""),"—")</f>
        <v/>
      </c>
      <c r="E35" s="69" t="str">
        <f aca="false">IFERROR(IF(Análisis!$K$34="🔴 QUIEBRE",Análisis!E34,""),"—")</f>
        <v/>
      </c>
      <c r="F35" s="70" t="str">
        <f aca="false">IFERROR(IF(Análisis!$K$34="🔴 QUIEBRE",Análisis!F34,""),"—")</f>
        <v/>
      </c>
      <c r="G35" s="67" t="str">
        <f aca="false">IFERROR(IF(Análisis!$K$34="🔴 QUIEBRE",Análisis!I34,""),"—")</f>
        <v/>
      </c>
      <c r="H35" s="67" t="str">
        <f aca="false">IFERROR(IF(Análisis!$K$34="🔴 QUIEBRE",Análisis!M34,""),"—")</f>
        <v/>
      </c>
      <c r="I35" s="71" t="str">
        <f aca="false">IFERROR(IF(Análisis!$K$34="🔴 QUIEBRE",Análisis!H34,""),"—")</f>
        <v/>
      </c>
      <c r="J35" s="67" t="str">
        <f aca="false">IFERROR(IF(Análisis!$K$34="🔴 QUIEBRE",Análisis!O34,""),"—")</f>
        <v/>
      </c>
    </row>
    <row r="36" customFormat="false" ht="15.75" hidden="false" customHeight="true" outlineLevel="0" collapsed="false">
      <c r="A36" s="67" t="str">
        <f aca="false">IFERROR(IF(Análisis!$K$35="🔴 QUIEBRE",Análisis!A35,""),"—")</f>
        <v/>
      </c>
      <c r="B36" s="68" t="str">
        <f aca="false">IFERROR(IF(Análisis!$K$35="🔴 QUIEBRE",Análisis!B35,""),"—")</f>
        <v/>
      </c>
      <c r="C36" s="67" t="str">
        <f aca="false">IFERROR(IF(Análisis!$K$35="🔴 QUIEBRE",Análisis!C35,""),"—")</f>
        <v/>
      </c>
      <c r="D36" s="67" t="str">
        <f aca="false">IFERROR(IF(Análisis!$K$35="🔴 QUIEBRE",Análisis!D35,""),"—")</f>
        <v/>
      </c>
      <c r="E36" s="69" t="str">
        <f aca="false">IFERROR(IF(Análisis!$K$35="🔴 QUIEBRE",Análisis!E35,""),"—")</f>
        <v/>
      </c>
      <c r="F36" s="70" t="str">
        <f aca="false">IFERROR(IF(Análisis!$K$35="🔴 QUIEBRE",Análisis!F35,""),"—")</f>
        <v/>
      </c>
      <c r="G36" s="67" t="str">
        <f aca="false">IFERROR(IF(Análisis!$K$35="🔴 QUIEBRE",Análisis!I35,""),"—")</f>
        <v/>
      </c>
      <c r="H36" s="67" t="str">
        <f aca="false">IFERROR(IF(Análisis!$K$35="🔴 QUIEBRE",Análisis!M35,""),"—")</f>
        <v/>
      </c>
      <c r="I36" s="71" t="str">
        <f aca="false">IFERROR(IF(Análisis!$K$35="🔴 QUIEBRE",Análisis!H35,""),"—")</f>
        <v/>
      </c>
      <c r="J36" s="67" t="str">
        <f aca="false">IFERROR(IF(Análisis!$K$35="🔴 QUIEBRE",Análisis!O35,""),"—")</f>
        <v/>
      </c>
    </row>
    <row r="37" customFormat="false" ht="15.75" hidden="false" customHeight="true" outlineLevel="0" collapsed="false">
      <c r="A37" s="67" t="str">
        <f aca="false">IFERROR(IF(Análisis!$K$36="🔴 QUIEBRE",Análisis!A36,""),"—")</f>
        <v/>
      </c>
      <c r="B37" s="68" t="str">
        <f aca="false">IFERROR(IF(Análisis!$K$36="🔴 QUIEBRE",Análisis!B36,""),"—")</f>
        <v/>
      </c>
      <c r="C37" s="67" t="str">
        <f aca="false">IFERROR(IF(Análisis!$K$36="🔴 QUIEBRE",Análisis!C36,""),"—")</f>
        <v/>
      </c>
      <c r="D37" s="67" t="str">
        <f aca="false">IFERROR(IF(Análisis!$K$36="🔴 QUIEBRE",Análisis!D36,""),"—")</f>
        <v/>
      </c>
      <c r="E37" s="69" t="str">
        <f aca="false">IFERROR(IF(Análisis!$K$36="🔴 QUIEBRE",Análisis!E36,""),"—")</f>
        <v/>
      </c>
      <c r="F37" s="70" t="str">
        <f aca="false">IFERROR(IF(Análisis!$K$36="🔴 QUIEBRE",Análisis!F36,""),"—")</f>
        <v/>
      </c>
      <c r="G37" s="67" t="str">
        <f aca="false">IFERROR(IF(Análisis!$K$36="🔴 QUIEBRE",Análisis!I36,""),"—")</f>
        <v/>
      </c>
      <c r="H37" s="67" t="str">
        <f aca="false">IFERROR(IF(Análisis!$K$36="🔴 QUIEBRE",Análisis!M36,""),"—")</f>
        <v/>
      </c>
      <c r="I37" s="71" t="str">
        <f aca="false">IFERROR(IF(Análisis!$K$36="🔴 QUIEBRE",Análisis!H36,""),"—")</f>
        <v/>
      </c>
      <c r="J37" s="67" t="str">
        <f aca="false">IFERROR(IF(Análisis!$K$36="🔴 QUIEBRE",Análisis!O36,""),"—")</f>
        <v/>
      </c>
    </row>
    <row r="38" customFormat="false" ht="15.75" hidden="false" customHeight="true" outlineLevel="0" collapsed="false">
      <c r="A38" s="67" t="str">
        <f aca="false">IFERROR(IF(Análisis!$K$37="🔴 QUIEBRE",Análisis!A37,""),"—")</f>
        <v/>
      </c>
      <c r="B38" s="68" t="str">
        <f aca="false">IFERROR(IF(Análisis!$K$37="🔴 QUIEBRE",Análisis!B37,""),"—")</f>
        <v/>
      </c>
      <c r="C38" s="67" t="str">
        <f aca="false">IFERROR(IF(Análisis!$K$37="🔴 QUIEBRE",Análisis!C37,""),"—")</f>
        <v/>
      </c>
      <c r="D38" s="67" t="str">
        <f aca="false">IFERROR(IF(Análisis!$K$37="🔴 QUIEBRE",Análisis!D37,""),"—")</f>
        <v/>
      </c>
      <c r="E38" s="69" t="str">
        <f aca="false">IFERROR(IF(Análisis!$K$37="🔴 QUIEBRE",Análisis!E37,""),"—")</f>
        <v/>
      </c>
      <c r="F38" s="70" t="str">
        <f aca="false">IFERROR(IF(Análisis!$K$37="🔴 QUIEBRE",Análisis!F37,""),"—")</f>
        <v/>
      </c>
      <c r="G38" s="67" t="str">
        <f aca="false">IFERROR(IF(Análisis!$K$37="🔴 QUIEBRE",Análisis!I37,""),"—")</f>
        <v/>
      </c>
      <c r="H38" s="67" t="str">
        <f aca="false">IFERROR(IF(Análisis!$K$37="🔴 QUIEBRE",Análisis!M37,""),"—")</f>
        <v/>
      </c>
      <c r="I38" s="71" t="str">
        <f aca="false">IFERROR(IF(Análisis!$K$37="🔴 QUIEBRE",Análisis!H37,""),"—")</f>
        <v/>
      </c>
      <c r="J38" s="67" t="str">
        <f aca="false">IFERROR(IF(Análisis!$K$37="🔴 QUIEBRE",Análisis!O37,""),"—")</f>
        <v/>
      </c>
    </row>
    <row r="39" customFormat="false" ht="15.75" hidden="false" customHeight="true" outlineLevel="0" collapsed="false">
      <c r="A39" s="67" t="str">
        <f aca="false">IFERROR(IF(Análisis!$K$38="🔴 QUIEBRE",Análisis!A38,""),"—")</f>
        <v/>
      </c>
      <c r="B39" s="68" t="str">
        <f aca="false">IFERROR(IF(Análisis!$K$38="🔴 QUIEBRE",Análisis!B38,""),"—")</f>
        <v/>
      </c>
      <c r="C39" s="67" t="str">
        <f aca="false">IFERROR(IF(Análisis!$K$38="🔴 QUIEBRE",Análisis!C38,""),"—")</f>
        <v/>
      </c>
      <c r="D39" s="67" t="str">
        <f aca="false">IFERROR(IF(Análisis!$K$38="🔴 QUIEBRE",Análisis!D38,""),"—")</f>
        <v/>
      </c>
      <c r="E39" s="69" t="str">
        <f aca="false">IFERROR(IF(Análisis!$K$38="🔴 QUIEBRE",Análisis!E38,""),"—")</f>
        <v/>
      </c>
      <c r="F39" s="70" t="str">
        <f aca="false">IFERROR(IF(Análisis!$K$38="🔴 QUIEBRE",Análisis!F38,""),"—")</f>
        <v/>
      </c>
      <c r="G39" s="67" t="str">
        <f aca="false">IFERROR(IF(Análisis!$K$38="🔴 QUIEBRE",Análisis!I38,""),"—")</f>
        <v/>
      </c>
      <c r="H39" s="67" t="str">
        <f aca="false">IFERROR(IF(Análisis!$K$38="🔴 QUIEBRE",Análisis!M38,""),"—")</f>
        <v/>
      </c>
      <c r="I39" s="71" t="str">
        <f aca="false">IFERROR(IF(Análisis!$K$38="🔴 QUIEBRE",Análisis!H38,""),"—")</f>
        <v/>
      </c>
      <c r="J39" s="67" t="str">
        <f aca="false">IFERROR(IF(Análisis!$K$38="🔴 QUIEBRE",Análisis!O38,""),"—")</f>
        <v/>
      </c>
    </row>
    <row r="40" customFormat="false" ht="15.75" hidden="false" customHeight="true" outlineLevel="0" collapsed="false">
      <c r="A40" s="67" t="str">
        <f aca="false">IFERROR(IF(Análisis!$K$39="🔴 QUIEBRE",Análisis!A39,""),"—")</f>
        <v/>
      </c>
      <c r="B40" s="68" t="str">
        <f aca="false">IFERROR(IF(Análisis!$K$39="🔴 QUIEBRE",Análisis!B39,""),"—")</f>
        <v/>
      </c>
      <c r="C40" s="67" t="str">
        <f aca="false">IFERROR(IF(Análisis!$K$39="🔴 QUIEBRE",Análisis!C39,""),"—")</f>
        <v/>
      </c>
      <c r="D40" s="67" t="str">
        <f aca="false">IFERROR(IF(Análisis!$K$39="🔴 QUIEBRE",Análisis!D39,""),"—")</f>
        <v/>
      </c>
      <c r="E40" s="69" t="str">
        <f aca="false">IFERROR(IF(Análisis!$K$39="🔴 QUIEBRE",Análisis!E39,""),"—")</f>
        <v/>
      </c>
      <c r="F40" s="70" t="str">
        <f aca="false">IFERROR(IF(Análisis!$K$39="🔴 QUIEBRE",Análisis!F39,""),"—")</f>
        <v/>
      </c>
      <c r="G40" s="67" t="str">
        <f aca="false">IFERROR(IF(Análisis!$K$39="🔴 QUIEBRE",Análisis!I39,""),"—")</f>
        <v/>
      </c>
      <c r="H40" s="67" t="str">
        <f aca="false">IFERROR(IF(Análisis!$K$39="🔴 QUIEBRE",Análisis!M39,""),"—")</f>
        <v/>
      </c>
      <c r="I40" s="71" t="str">
        <f aca="false">IFERROR(IF(Análisis!$K$39="🔴 QUIEBRE",Análisis!H39,""),"—")</f>
        <v/>
      </c>
      <c r="J40" s="67" t="str">
        <f aca="false">IFERROR(IF(Análisis!$K$39="🔴 QUIEBRE",Análisis!O39,""),"—")</f>
        <v/>
      </c>
    </row>
    <row r="41" customFormat="false" ht="15.75" hidden="false" customHeight="true" outlineLevel="0" collapsed="false">
      <c r="A41" s="67" t="str">
        <f aca="false">IFERROR(IF(Análisis!$K$40="🔴 QUIEBRE",Análisis!A40,""),"—")</f>
        <v/>
      </c>
      <c r="B41" s="68" t="str">
        <f aca="false">IFERROR(IF(Análisis!$K$40="🔴 QUIEBRE",Análisis!B40,""),"—")</f>
        <v/>
      </c>
      <c r="C41" s="67" t="str">
        <f aca="false">IFERROR(IF(Análisis!$K$40="🔴 QUIEBRE",Análisis!C40,""),"—")</f>
        <v/>
      </c>
      <c r="D41" s="67" t="str">
        <f aca="false">IFERROR(IF(Análisis!$K$40="🔴 QUIEBRE",Análisis!D40,""),"—")</f>
        <v/>
      </c>
      <c r="E41" s="69" t="str">
        <f aca="false">IFERROR(IF(Análisis!$K$40="🔴 QUIEBRE",Análisis!E40,""),"—")</f>
        <v/>
      </c>
      <c r="F41" s="70" t="str">
        <f aca="false">IFERROR(IF(Análisis!$K$40="🔴 QUIEBRE",Análisis!F40,""),"—")</f>
        <v/>
      </c>
      <c r="G41" s="67" t="str">
        <f aca="false">IFERROR(IF(Análisis!$K$40="🔴 QUIEBRE",Análisis!I40,""),"—")</f>
        <v/>
      </c>
      <c r="H41" s="67" t="str">
        <f aca="false">IFERROR(IF(Análisis!$K$40="🔴 QUIEBRE",Análisis!M40,""),"—")</f>
        <v/>
      </c>
      <c r="I41" s="71" t="str">
        <f aca="false">IFERROR(IF(Análisis!$K$40="🔴 QUIEBRE",Análisis!H40,""),"—")</f>
        <v/>
      </c>
      <c r="J41" s="67" t="str">
        <f aca="false">IFERROR(IF(Análisis!$K$40="🔴 QUIEBRE",Análisis!O40,""),"—")</f>
        <v/>
      </c>
    </row>
    <row r="42" customFormat="false" ht="15.75" hidden="false" customHeight="true" outlineLevel="0" collapsed="false">
      <c r="A42" s="67" t="str">
        <f aca="false">IFERROR(IF(Análisis!$K$41="🔴 QUIEBRE",Análisis!A41,""),"—")</f>
        <v/>
      </c>
      <c r="B42" s="68" t="str">
        <f aca="false">IFERROR(IF(Análisis!$K$41="🔴 QUIEBRE",Análisis!B41,""),"—")</f>
        <v/>
      </c>
      <c r="C42" s="67" t="str">
        <f aca="false">IFERROR(IF(Análisis!$K$41="🔴 QUIEBRE",Análisis!C41,""),"—")</f>
        <v/>
      </c>
      <c r="D42" s="67" t="str">
        <f aca="false">IFERROR(IF(Análisis!$K$41="🔴 QUIEBRE",Análisis!D41,""),"—")</f>
        <v/>
      </c>
      <c r="E42" s="69" t="str">
        <f aca="false">IFERROR(IF(Análisis!$K$41="🔴 QUIEBRE",Análisis!E41,""),"—")</f>
        <v/>
      </c>
      <c r="F42" s="70" t="str">
        <f aca="false">IFERROR(IF(Análisis!$K$41="🔴 QUIEBRE",Análisis!F41,""),"—")</f>
        <v/>
      </c>
      <c r="G42" s="67" t="str">
        <f aca="false">IFERROR(IF(Análisis!$K$41="🔴 QUIEBRE",Análisis!I41,""),"—")</f>
        <v/>
      </c>
      <c r="H42" s="67" t="str">
        <f aca="false">IFERROR(IF(Análisis!$K$41="🔴 QUIEBRE",Análisis!M41,""),"—")</f>
        <v/>
      </c>
      <c r="I42" s="71" t="str">
        <f aca="false">IFERROR(IF(Análisis!$K$41="🔴 QUIEBRE",Análisis!H41,""),"—")</f>
        <v/>
      </c>
      <c r="J42" s="67" t="str">
        <f aca="false">IFERROR(IF(Análisis!$K$41="🔴 QUIEBRE",Análisis!O41,""),"—")</f>
        <v/>
      </c>
    </row>
    <row r="43" customFormat="false" ht="15.75" hidden="false" customHeight="true" outlineLevel="0" collapsed="false">
      <c r="A43" s="67" t="str">
        <f aca="false">IFERROR(IF(Análisis!$K$42="🔴 QUIEBRE",Análisis!A42,""),"—")</f>
        <v/>
      </c>
      <c r="B43" s="68" t="str">
        <f aca="false">IFERROR(IF(Análisis!$K$42="🔴 QUIEBRE",Análisis!B42,""),"—")</f>
        <v/>
      </c>
      <c r="C43" s="67" t="str">
        <f aca="false">IFERROR(IF(Análisis!$K$42="🔴 QUIEBRE",Análisis!C42,""),"—")</f>
        <v/>
      </c>
      <c r="D43" s="67" t="str">
        <f aca="false">IFERROR(IF(Análisis!$K$42="🔴 QUIEBRE",Análisis!D42,""),"—")</f>
        <v/>
      </c>
      <c r="E43" s="69" t="str">
        <f aca="false">IFERROR(IF(Análisis!$K$42="🔴 QUIEBRE",Análisis!E42,""),"—")</f>
        <v/>
      </c>
      <c r="F43" s="70" t="str">
        <f aca="false">IFERROR(IF(Análisis!$K$42="🔴 QUIEBRE",Análisis!F42,""),"—")</f>
        <v/>
      </c>
      <c r="G43" s="67" t="str">
        <f aca="false">IFERROR(IF(Análisis!$K$42="🔴 QUIEBRE",Análisis!I42,""),"—")</f>
        <v/>
      </c>
      <c r="H43" s="67" t="str">
        <f aca="false">IFERROR(IF(Análisis!$K$42="🔴 QUIEBRE",Análisis!M42,""),"—")</f>
        <v/>
      </c>
      <c r="I43" s="71" t="str">
        <f aca="false">IFERROR(IF(Análisis!$K$42="🔴 QUIEBRE",Análisis!H42,""),"—")</f>
        <v/>
      </c>
      <c r="J43" s="67" t="str">
        <f aca="false">IFERROR(IF(Análisis!$K$42="🔴 QUIEBRE",Análisis!O42,""),"—")</f>
        <v/>
      </c>
    </row>
    <row r="44" customFormat="false" ht="15.75" hidden="false" customHeight="true" outlineLevel="0" collapsed="false">
      <c r="A44" s="67" t="str">
        <f aca="false">IFERROR(IF(Análisis!$K$43="🔴 QUIEBRE",Análisis!A43,""),"—")</f>
        <v/>
      </c>
      <c r="B44" s="68" t="str">
        <f aca="false">IFERROR(IF(Análisis!$K$43="🔴 QUIEBRE",Análisis!B43,""),"—")</f>
        <v/>
      </c>
      <c r="C44" s="67" t="str">
        <f aca="false">IFERROR(IF(Análisis!$K$43="🔴 QUIEBRE",Análisis!C43,""),"—")</f>
        <v/>
      </c>
      <c r="D44" s="67" t="str">
        <f aca="false">IFERROR(IF(Análisis!$K$43="🔴 QUIEBRE",Análisis!D43,""),"—")</f>
        <v/>
      </c>
      <c r="E44" s="69" t="str">
        <f aca="false">IFERROR(IF(Análisis!$K$43="🔴 QUIEBRE",Análisis!E43,""),"—")</f>
        <v/>
      </c>
      <c r="F44" s="70" t="str">
        <f aca="false">IFERROR(IF(Análisis!$K$43="🔴 QUIEBRE",Análisis!F43,""),"—")</f>
        <v/>
      </c>
      <c r="G44" s="67" t="str">
        <f aca="false">IFERROR(IF(Análisis!$K$43="🔴 QUIEBRE",Análisis!I43,""),"—")</f>
        <v/>
      </c>
      <c r="H44" s="67" t="str">
        <f aca="false">IFERROR(IF(Análisis!$K$43="🔴 QUIEBRE",Análisis!M43,""),"—")</f>
        <v/>
      </c>
      <c r="I44" s="71" t="str">
        <f aca="false">IFERROR(IF(Análisis!$K$43="🔴 QUIEBRE",Análisis!H43,""),"—")</f>
        <v/>
      </c>
      <c r="J44" s="67" t="str">
        <f aca="false">IFERROR(IF(Análisis!$K$43="🔴 QUIEBRE",Análisis!O43,""),"—")</f>
        <v/>
      </c>
    </row>
    <row r="45" customFormat="false" ht="15.75" hidden="false" customHeight="true" outlineLevel="0" collapsed="false">
      <c r="A45" s="67" t="str">
        <f aca="false">IFERROR(IF(Análisis!$K$44="🔴 QUIEBRE",Análisis!A44,""),"—")</f>
        <v/>
      </c>
      <c r="B45" s="68" t="str">
        <f aca="false">IFERROR(IF(Análisis!$K$44="🔴 QUIEBRE",Análisis!B44,""),"—")</f>
        <v/>
      </c>
      <c r="C45" s="67" t="str">
        <f aca="false">IFERROR(IF(Análisis!$K$44="🔴 QUIEBRE",Análisis!C44,""),"—")</f>
        <v/>
      </c>
      <c r="D45" s="67" t="str">
        <f aca="false">IFERROR(IF(Análisis!$K$44="🔴 QUIEBRE",Análisis!D44,""),"—")</f>
        <v/>
      </c>
      <c r="E45" s="69" t="str">
        <f aca="false">IFERROR(IF(Análisis!$K$44="🔴 QUIEBRE",Análisis!E44,""),"—")</f>
        <v/>
      </c>
      <c r="F45" s="70" t="str">
        <f aca="false">IFERROR(IF(Análisis!$K$44="🔴 QUIEBRE",Análisis!F44,""),"—")</f>
        <v/>
      </c>
      <c r="G45" s="67" t="str">
        <f aca="false">IFERROR(IF(Análisis!$K$44="🔴 QUIEBRE",Análisis!I44,""),"—")</f>
        <v/>
      </c>
      <c r="H45" s="67" t="str">
        <f aca="false">IFERROR(IF(Análisis!$K$44="🔴 QUIEBRE",Análisis!M44,""),"—")</f>
        <v/>
      </c>
      <c r="I45" s="71" t="str">
        <f aca="false">IFERROR(IF(Análisis!$K$44="🔴 QUIEBRE",Análisis!H44,""),"—")</f>
        <v/>
      </c>
      <c r="J45" s="67" t="str">
        <f aca="false">IFERROR(IF(Análisis!$K$44="🔴 QUIEBRE",Análisis!O44,""),"—")</f>
        <v/>
      </c>
    </row>
    <row r="46" customFormat="false" ht="15.75" hidden="false" customHeight="true" outlineLevel="0" collapsed="false">
      <c r="A46" s="67" t="str">
        <f aca="false">IFERROR(IF(Análisis!$K$45="🔴 QUIEBRE",Análisis!A45,""),"—")</f>
        <v/>
      </c>
      <c r="B46" s="68" t="str">
        <f aca="false">IFERROR(IF(Análisis!$K$45="🔴 QUIEBRE",Análisis!B45,""),"—")</f>
        <v/>
      </c>
      <c r="C46" s="67" t="str">
        <f aca="false">IFERROR(IF(Análisis!$K$45="🔴 QUIEBRE",Análisis!C45,""),"—")</f>
        <v/>
      </c>
      <c r="D46" s="67" t="str">
        <f aca="false">IFERROR(IF(Análisis!$K$45="🔴 QUIEBRE",Análisis!D45,""),"—")</f>
        <v/>
      </c>
      <c r="E46" s="69" t="str">
        <f aca="false">IFERROR(IF(Análisis!$K$45="🔴 QUIEBRE",Análisis!E45,""),"—")</f>
        <v/>
      </c>
      <c r="F46" s="70" t="str">
        <f aca="false">IFERROR(IF(Análisis!$K$45="🔴 QUIEBRE",Análisis!F45,""),"—")</f>
        <v/>
      </c>
      <c r="G46" s="67" t="str">
        <f aca="false">IFERROR(IF(Análisis!$K$45="🔴 QUIEBRE",Análisis!I45,""),"—")</f>
        <v/>
      </c>
      <c r="H46" s="67" t="str">
        <f aca="false">IFERROR(IF(Análisis!$K$45="🔴 QUIEBRE",Análisis!M45,""),"—")</f>
        <v/>
      </c>
      <c r="I46" s="71" t="str">
        <f aca="false">IFERROR(IF(Análisis!$K$45="🔴 QUIEBRE",Análisis!H45,""),"—")</f>
        <v/>
      </c>
      <c r="J46" s="67" t="str">
        <f aca="false">IFERROR(IF(Análisis!$K$45="🔴 QUIEBRE",Análisis!O45,""),"—")</f>
        <v/>
      </c>
    </row>
    <row r="47" customFormat="false" ht="15.75" hidden="false" customHeight="true" outlineLevel="0" collapsed="false">
      <c r="A47" s="67" t="str">
        <f aca="false">IFERROR(IF(Análisis!$K$46="🔴 QUIEBRE",Análisis!A46,""),"—")</f>
        <v/>
      </c>
      <c r="B47" s="68" t="str">
        <f aca="false">IFERROR(IF(Análisis!$K$46="🔴 QUIEBRE",Análisis!B46,""),"—")</f>
        <v/>
      </c>
      <c r="C47" s="67" t="str">
        <f aca="false">IFERROR(IF(Análisis!$K$46="🔴 QUIEBRE",Análisis!C46,""),"—")</f>
        <v/>
      </c>
      <c r="D47" s="67" t="str">
        <f aca="false">IFERROR(IF(Análisis!$K$46="🔴 QUIEBRE",Análisis!D46,""),"—")</f>
        <v/>
      </c>
      <c r="E47" s="69" t="str">
        <f aca="false">IFERROR(IF(Análisis!$K$46="🔴 QUIEBRE",Análisis!E46,""),"—")</f>
        <v/>
      </c>
      <c r="F47" s="70" t="str">
        <f aca="false">IFERROR(IF(Análisis!$K$46="🔴 QUIEBRE",Análisis!F46,""),"—")</f>
        <v/>
      </c>
      <c r="G47" s="67" t="str">
        <f aca="false">IFERROR(IF(Análisis!$K$46="🔴 QUIEBRE",Análisis!I46,""),"—")</f>
        <v/>
      </c>
      <c r="H47" s="67" t="str">
        <f aca="false">IFERROR(IF(Análisis!$K$46="🔴 QUIEBRE",Análisis!M46,""),"—")</f>
        <v/>
      </c>
      <c r="I47" s="71" t="str">
        <f aca="false">IFERROR(IF(Análisis!$K$46="🔴 QUIEBRE",Análisis!H46,""),"—")</f>
        <v/>
      </c>
      <c r="J47" s="67" t="str">
        <f aca="false">IFERROR(IF(Análisis!$K$46="🔴 QUIEBRE",Análisis!O46,""),"—")</f>
        <v/>
      </c>
    </row>
    <row r="48" customFormat="false" ht="15.75" hidden="false" customHeight="true" outlineLevel="0" collapsed="false">
      <c r="A48" s="67" t="str">
        <f aca="false">IFERROR(IF(Análisis!$K$47="🔴 QUIEBRE",Análisis!A47,""),"—")</f>
        <v/>
      </c>
      <c r="B48" s="68" t="str">
        <f aca="false">IFERROR(IF(Análisis!$K$47="🔴 QUIEBRE",Análisis!B47,""),"—")</f>
        <v/>
      </c>
      <c r="C48" s="67" t="str">
        <f aca="false">IFERROR(IF(Análisis!$K$47="🔴 QUIEBRE",Análisis!C47,""),"—")</f>
        <v/>
      </c>
      <c r="D48" s="67" t="str">
        <f aca="false">IFERROR(IF(Análisis!$K$47="🔴 QUIEBRE",Análisis!D47,""),"—")</f>
        <v/>
      </c>
      <c r="E48" s="69" t="str">
        <f aca="false">IFERROR(IF(Análisis!$K$47="🔴 QUIEBRE",Análisis!E47,""),"—")</f>
        <v/>
      </c>
      <c r="F48" s="70" t="str">
        <f aca="false">IFERROR(IF(Análisis!$K$47="🔴 QUIEBRE",Análisis!F47,""),"—")</f>
        <v/>
      </c>
      <c r="G48" s="67" t="str">
        <f aca="false">IFERROR(IF(Análisis!$K$47="🔴 QUIEBRE",Análisis!I47,""),"—")</f>
        <v/>
      </c>
      <c r="H48" s="67" t="str">
        <f aca="false">IFERROR(IF(Análisis!$K$47="🔴 QUIEBRE",Análisis!M47,""),"—")</f>
        <v/>
      </c>
      <c r="I48" s="71" t="str">
        <f aca="false">IFERROR(IF(Análisis!$K$47="🔴 QUIEBRE",Análisis!H47,""),"—")</f>
        <v/>
      </c>
      <c r="J48" s="67" t="str">
        <f aca="false">IFERROR(IF(Análisis!$K$47="🔴 QUIEBRE",Análisis!O47,""),"—")</f>
        <v/>
      </c>
    </row>
    <row r="49" customFormat="false" ht="15.75" hidden="false" customHeight="true" outlineLevel="0" collapsed="false">
      <c r="A49" s="67" t="str">
        <f aca="false">IFERROR(IF(Análisis!$K$48="🔴 QUIEBRE",Análisis!A48,""),"—")</f>
        <v>SKU-044</v>
      </c>
      <c r="B49" s="68" t="str">
        <f aca="false">IFERROR(IF(Análisis!$K$48="🔴 QUIEBRE",Análisis!B48,""),"—")</f>
        <v>Papel Higiénico x4</v>
      </c>
      <c r="C49" s="67" t="str">
        <f aca="false">IFERROR(IF(Análisis!$K$48="🔴 QUIEBRE",Análisis!C48,""),"—")</f>
        <v>Limpieza del Hogar</v>
      </c>
      <c r="D49" s="67" t="n">
        <f aca="false">IFERROR(IF(Análisis!$K$48="🔴 QUIEBRE",Análisis!D48,""),"—")</f>
        <v>20</v>
      </c>
      <c r="E49" s="69" t="n">
        <f aca="false">IFERROR(IF(Análisis!$K$48="🔴 QUIEBRE",Análisis!E48,""),"—")</f>
        <v>279.5</v>
      </c>
      <c r="F49" s="70" t="n">
        <f aca="false">IFERROR(IF(Análisis!$K$48="🔴 QUIEBRE",Análisis!F48,""),"—")</f>
        <v>2.14669051878354</v>
      </c>
      <c r="G49" s="67" t="n">
        <f aca="false">IFERROR(IF(Análisis!$K$48="🔴 QUIEBRE",Análisis!I48,""),"—")</f>
        <v>47</v>
      </c>
      <c r="H49" s="67" t="str">
        <f aca="false">IFERROR(IF(Análisis!$K$48="🔴 QUIEBRE",Análisis!M48,""),"—")</f>
        <v>A</v>
      </c>
      <c r="I49" s="71" t="n">
        <f aca="false">IFERROR(IF(Análisis!$K$48="🔴 QUIEBRE",Análisis!H48,""),"—")</f>
        <v>72</v>
      </c>
      <c r="J49" s="67" t="str">
        <f aca="false">IFERROR(IF(Análisis!$K$48="🔴 QUIEBRE",Análisis!O48,""),"—")</f>
        <v>REPOSICIÓN URGENTE</v>
      </c>
    </row>
    <row r="50" customFormat="false" ht="15.75" hidden="false" customHeight="true" outlineLevel="0" collapsed="false">
      <c r="A50" s="67" t="str">
        <f aca="false">IFERROR(IF(Análisis!$K$49="🔴 QUIEBRE",Análisis!A49,""),"—")</f>
        <v/>
      </c>
      <c r="B50" s="68" t="str">
        <f aca="false">IFERROR(IF(Análisis!$K$49="🔴 QUIEBRE",Análisis!B49,""),"—")</f>
        <v/>
      </c>
      <c r="C50" s="67" t="str">
        <f aca="false">IFERROR(IF(Análisis!$K$49="🔴 QUIEBRE",Análisis!C49,""),"—")</f>
        <v/>
      </c>
      <c r="D50" s="67" t="str">
        <f aca="false">IFERROR(IF(Análisis!$K$49="🔴 QUIEBRE",Análisis!D49,""),"—")</f>
        <v/>
      </c>
      <c r="E50" s="69" t="str">
        <f aca="false">IFERROR(IF(Análisis!$K$49="🔴 QUIEBRE",Análisis!E49,""),"—")</f>
        <v/>
      </c>
      <c r="F50" s="70" t="str">
        <f aca="false">IFERROR(IF(Análisis!$K$49="🔴 QUIEBRE",Análisis!F49,""),"—")</f>
        <v/>
      </c>
      <c r="G50" s="67" t="str">
        <f aca="false">IFERROR(IF(Análisis!$K$49="🔴 QUIEBRE",Análisis!I49,""),"—")</f>
        <v/>
      </c>
      <c r="H50" s="67" t="str">
        <f aca="false">IFERROR(IF(Análisis!$K$49="🔴 QUIEBRE",Análisis!M49,""),"—")</f>
        <v/>
      </c>
      <c r="I50" s="71" t="str">
        <f aca="false">IFERROR(IF(Análisis!$K$49="🔴 QUIEBRE",Análisis!H49,""),"—")</f>
        <v/>
      </c>
      <c r="J50" s="67" t="str">
        <f aca="false">IFERROR(IF(Análisis!$K$49="🔴 QUIEBRE",Análisis!O49,""),"—")</f>
        <v/>
      </c>
    </row>
    <row r="51" customFormat="false" ht="15.75" hidden="false" customHeight="true" outlineLevel="0" collapsed="false">
      <c r="A51" s="67" t="str">
        <f aca="false">IFERROR(IF(Análisis!$K$50="🔴 QUIEBRE",Análisis!A50,""),"—")</f>
        <v/>
      </c>
      <c r="B51" s="68" t="str">
        <f aca="false">IFERROR(IF(Análisis!$K$50="🔴 QUIEBRE",Análisis!B50,""),"—")</f>
        <v/>
      </c>
      <c r="C51" s="67" t="str">
        <f aca="false">IFERROR(IF(Análisis!$K$50="🔴 QUIEBRE",Análisis!C50,""),"—")</f>
        <v/>
      </c>
      <c r="D51" s="67" t="str">
        <f aca="false">IFERROR(IF(Análisis!$K$50="🔴 QUIEBRE",Análisis!D50,""),"—")</f>
        <v/>
      </c>
      <c r="E51" s="69" t="str">
        <f aca="false">IFERROR(IF(Análisis!$K$50="🔴 QUIEBRE",Análisis!E50,""),"—")</f>
        <v/>
      </c>
      <c r="F51" s="70" t="str">
        <f aca="false">IFERROR(IF(Análisis!$K$50="🔴 QUIEBRE",Análisis!F50,""),"—")</f>
        <v/>
      </c>
      <c r="G51" s="67" t="str">
        <f aca="false">IFERROR(IF(Análisis!$K$50="🔴 QUIEBRE",Análisis!I50,""),"—")</f>
        <v/>
      </c>
      <c r="H51" s="67" t="str">
        <f aca="false">IFERROR(IF(Análisis!$K$50="🔴 QUIEBRE",Análisis!M50,""),"—")</f>
        <v/>
      </c>
      <c r="I51" s="71" t="str">
        <f aca="false">IFERROR(IF(Análisis!$K$50="🔴 QUIEBRE",Análisis!H50,""),"—")</f>
        <v/>
      </c>
      <c r="J51" s="67" t="str">
        <f aca="false">IFERROR(IF(Análisis!$K$50="🔴 QUIEBRE",Análisis!O50,""),"—")</f>
        <v/>
      </c>
    </row>
    <row r="52" customFormat="false" ht="15.75" hidden="false" customHeight="true" outlineLevel="0" collapsed="false">
      <c r="A52" s="67" t="str">
        <f aca="false">IFERROR(IF(Análisis!$K$51="🔴 QUIEBRE",Análisis!A51,""),"—")</f>
        <v/>
      </c>
      <c r="B52" s="68" t="str">
        <f aca="false">IFERROR(IF(Análisis!$K$51="🔴 QUIEBRE",Análisis!B51,""),"—")</f>
        <v/>
      </c>
      <c r="C52" s="67" t="str">
        <f aca="false">IFERROR(IF(Análisis!$K$51="🔴 QUIEBRE",Análisis!C51,""),"—")</f>
        <v/>
      </c>
      <c r="D52" s="67" t="str">
        <f aca="false">IFERROR(IF(Análisis!$K$51="🔴 QUIEBRE",Análisis!D51,""),"—")</f>
        <v/>
      </c>
      <c r="E52" s="69" t="str">
        <f aca="false">IFERROR(IF(Análisis!$K$51="🔴 QUIEBRE",Análisis!E51,""),"—")</f>
        <v/>
      </c>
      <c r="F52" s="70" t="str">
        <f aca="false">IFERROR(IF(Análisis!$K$51="🔴 QUIEBRE",Análisis!F51,""),"—")</f>
        <v/>
      </c>
      <c r="G52" s="67" t="str">
        <f aca="false">IFERROR(IF(Análisis!$K$51="🔴 QUIEBRE",Análisis!I51,""),"—")</f>
        <v/>
      </c>
      <c r="H52" s="67" t="str">
        <f aca="false">IFERROR(IF(Análisis!$K$51="🔴 QUIEBRE",Análisis!M51,""),"—")</f>
        <v/>
      </c>
      <c r="I52" s="71" t="str">
        <f aca="false">IFERROR(IF(Análisis!$K$51="🔴 QUIEBRE",Análisis!H51,""),"—")</f>
        <v/>
      </c>
      <c r="J52" s="67" t="str">
        <f aca="false">IFERROR(IF(Análisis!$K$51="🔴 QUIEBRE",Análisis!O51,""),"—")</f>
        <v/>
      </c>
    </row>
    <row r="53" customFormat="false" ht="15.75" hidden="false" customHeight="true" outlineLevel="0" collapsed="false">
      <c r="A53" s="67" t="str">
        <f aca="false">IFERROR(IF(Análisis!$K$52="🔴 QUIEBRE",Análisis!A52,""),"—")</f>
        <v/>
      </c>
      <c r="B53" s="68" t="str">
        <f aca="false">IFERROR(IF(Análisis!$K$52="🔴 QUIEBRE",Análisis!B52,""),"—")</f>
        <v/>
      </c>
      <c r="C53" s="67" t="str">
        <f aca="false">IFERROR(IF(Análisis!$K$52="🔴 QUIEBRE",Análisis!C52,""),"—")</f>
        <v/>
      </c>
      <c r="D53" s="67" t="str">
        <f aca="false">IFERROR(IF(Análisis!$K$52="🔴 QUIEBRE",Análisis!D52,""),"—")</f>
        <v/>
      </c>
      <c r="E53" s="69" t="str">
        <f aca="false">IFERROR(IF(Análisis!$K$52="🔴 QUIEBRE",Análisis!E52,""),"—")</f>
        <v/>
      </c>
      <c r="F53" s="70" t="str">
        <f aca="false">IFERROR(IF(Análisis!$K$52="🔴 QUIEBRE",Análisis!F52,""),"—")</f>
        <v/>
      </c>
      <c r="G53" s="67" t="str">
        <f aca="false">IFERROR(IF(Análisis!$K$52="🔴 QUIEBRE",Análisis!I52,""),"—")</f>
        <v/>
      </c>
      <c r="H53" s="67" t="str">
        <f aca="false">IFERROR(IF(Análisis!$K$52="🔴 QUIEBRE",Análisis!M52,""),"—")</f>
        <v/>
      </c>
      <c r="I53" s="71" t="str">
        <f aca="false">IFERROR(IF(Análisis!$K$52="🔴 QUIEBRE",Análisis!H52,""),"—")</f>
        <v/>
      </c>
      <c r="J53" s="67" t="str">
        <f aca="false">IFERROR(IF(Análisis!$K$52="🔴 QUIEBRE",Análisis!O52,""),"—")</f>
        <v/>
      </c>
    </row>
    <row r="54" customFormat="false" ht="15.75" hidden="false" customHeight="true" outlineLevel="0" collapsed="false">
      <c r="A54" s="67" t="str">
        <f aca="false">IFERROR(IF(Análisis!$K$53="🔴 QUIEBRE",Análisis!A53,""),"—")</f>
        <v/>
      </c>
      <c r="B54" s="68" t="str">
        <f aca="false">IFERROR(IF(Análisis!$K$53="🔴 QUIEBRE",Análisis!B53,""),"—")</f>
        <v/>
      </c>
      <c r="C54" s="67" t="str">
        <f aca="false">IFERROR(IF(Análisis!$K$53="🔴 QUIEBRE",Análisis!C53,""),"—")</f>
        <v/>
      </c>
      <c r="D54" s="67" t="str">
        <f aca="false">IFERROR(IF(Análisis!$K$53="🔴 QUIEBRE",Análisis!D53,""),"—")</f>
        <v/>
      </c>
      <c r="E54" s="69" t="str">
        <f aca="false">IFERROR(IF(Análisis!$K$53="🔴 QUIEBRE",Análisis!E53,""),"—")</f>
        <v/>
      </c>
      <c r="F54" s="70" t="str">
        <f aca="false">IFERROR(IF(Análisis!$K$53="🔴 QUIEBRE",Análisis!F53,""),"—")</f>
        <v/>
      </c>
      <c r="G54" s="67" t="str">
        <f aca="false">IFERROR(IF(Análisis!$K$53="🔴 QUIEBRE",Análisis!I53,""),"—")</f>
        <v/>
      </c>
      <c r="H54" s="67" t="str">
        <f aca="false">IFERROR(IF(Análisis!$K$53="🔴 QUIEBRE",Análisis!M53,""),"—")</f>
        <v/>
      </c>
      <c r="I54" s="71" t="str">
        <f aca="false">IFERROR(IF(Análisis!$K$53="🔴 QUIEBRE",Análisis!H53,""),"—")</f>
        <v/>
      </c>
      <c r="J54" s="67" t="str">
        <f aca="false">IFERROR(IF(Análisis!$K$53="🔴 QUIEBRE",Análisis!O53,""),"—")</f>
        <v/>
      </c>
    </row>
    <row r="55" customFormat="false" ht="15.75" hidden="false" customHeight="true" outlineLevel="0" collapsed="false">
      <c r="A55" s="67" t="str">
        <f aca="false">IFERROR(IF(Análisis!$K$54="🔴 QUIEBRE",Análisis!A54,""),"—")</f>
        <v/>
      </c>
      <c r="B55" s="68" t="str">
        <f aca="false">IFERROR(IF(Análisis!$K$54="🔴 QUIEBRE",Análisis!B54,""),"—")</f>
        <v/>
      </c>
      <c r="C55" s="67" t="str">
        <f aca="false">IFERROR(IF(Análisis!$K$54="🔴 QUIEBRE",Análisis!C54,""),"—")</f>
        <v/>
      </c>
      <c r="D55" s="67" t="str">
        <f aca="false">IFERROR(IF(Análisis!$K$54="🔴 QUIEBRE",Análisis!D54,""),"—")</f>
        <v/>
      </c>
      <c r="E55" s="69" t="str">
        <f aca="false">IFERROR(IF(Análisis!$K$54="🔴 QUIEBRE",Análisis!E54,""),"—")</f>
        <v/>
      </c>
      <c r="F55" s="70" t="str">
        <f aca="false">IFERROR(IF(Análisis!$K$54="🔴 QUIEBRE",Análisis!F54,""),"—")</f>
        <v/>
      </c>
      <c r="G55" s="67" t="str">
        <f aca="false">IFERROR(IF(Análisis!$K$54="🔴 QUIEBRE",Análisis!I54,""),"—")</f>
        <v/>
      </c>
      <c r="H55" s="67" t="str">
        <f aca="false">IFERROR(IF(Análisis!$K$54="🔴 QUIEBRE",Análisis!M54,""),"—")</f>
        <v/>
      </c>
      <c r="I55" s="71" t="str">
        <f aca="false">IFERROR(IF(Análisis!$K$54="🔴 QUIEBRE",Análisis!H54,""),"—")</f>
        <v/>
      </c>
      <c r="J55" s="67" t="str">
        <f aca="false">IFERROR(IF(Análisis!$K$54="🔴 QUIEBRE",Análisis!O54,""),"—")</f>
        <v/>
      </c>
    </row>
    <row r="56" customFormat="false" ht="15.75" hidden="false" customHeight="true" outlineLevel="0" collapsed="false">
      <c r="A56" s="67" t="str">
        <f aca="false">IFERROR(IF(Análisis!$K$55="🔴 QUIEBRE",Análisis!A55,""),"—")</f>
        <v/>
      </c>
      <c r="B56" s="68" t="str">
        <f aca="false">IFERROR(IF(Análisis!$K$55="🔴 QUIEBRE",Análisis!B55,""),"—")</f>
        <v/>
      </c>
      <c r="C56" s="67" t="str">
        <f aca="false">IFERROR(IF(Análisis!$K$55="🔴 QUIEBRE",Análisis!C55,""),"—")</f>
        <v/>
      </c>
      <c r="D56" s="67" t="str">
        <f aca="false">IFERROR(IF(Análisis!$K$55="🔴 QUIEBRE",Análisis!D55,""),"—")</f>
        <v/>
      </c>
      <c r="E56" s="69" t="str">
        <f aca="false">IFERROR(IF(Análisis!$K$55="🔴 QUIEBRE",Análisis!E55,""),"—")</f>
        <v/>
      </c>
      <c r="F56" s="70" t="str">
        <f aca="false">IFERROR(IF(Análisis!$K$55="🔴 QUIEBRE",Análisis!F55,""),"—")</f>
        <v/>
      </c>
      <c r="G56" s="67" t="str">
        <f aca="false">IFERROR(IF(Análisis!$K$55="🔴 QUIEBRE",Análisis!I55,""),"—")</f>
        <v/>
      </c>
      <c r="H56" s="67" t="str">
        <f aca="false">IFERROR(IF(Análisis!$K$55="🔴 QUIEBRE",Análisis!M55,""),"—")</f>
        <v/>
      </c>
      <c r="I56" s="71" t="str">
        <f aca="false">IFERROR(IF(Análisis!$K$55="🔴 QUIEBRE",Análisis!H55,""),"—")</f>
        <v/>
      </c>
      <c r="J56" s="67" t="str">
        <f aca="false">IFERROR(IF(Análisis!$K$55="🔴 QUIEBRE",Análisis!O55,""),"—")</f>
        <v/>
      </c>
    </row>
    <row r="57" customFormat="false" ht="15.75" hidden="false" customHeight="true" outlineLevel="0" collapsed="false">
      <c r="A57" s="67" t="str">
        <f aca="false">IFERROR(IF(Análisis!$K$56="🔴 QUIEBRE",Análisis!A56,""),"—")</f>
        <v/>
      </c>
      <c r="B57" s="68" t="str">
        <f aca="false">IFERROR(IF(Análisis!$K$56="🔴 QUIEBRE",Análisis!B56,""),"—")</f>
        <v/>
      </c>
      <c r="C57" s="67" t="str">
        <f aca="false">IFERROR(IF(Análisis!$K$56="🔴 QUIEBRE",Análisis!C56,""),"—")</f>
        <v/>
      </c>
      <c r="D57" s="67" t="str">
        <f aca="false">IFERROR(IF(Análisis!$K$56="🔴 QUIEBRE",Análisis!D56,""),"—")</f>
        <v/>
      </c>
      <c r="E57" s="69" t="str">
        <f aca="false">IFERROR(IF(Análisis!$K$56="🔴 QUIEBRE",Análisis!E56,""),"—")</f>
        <v/>
      </c>
      <c r="F57" s="70" t="str">
        <f aca="false">IFERROR(IF(Análisis!$K$56="🔴 QUIEBRE",Análisis!F56,""),"—")</f>
        <v/>
      </c>
      <c r="G57" s="67" t="str">
        <f aca="false">IFERROR(IF(Análisis!$K$56="🔴 QUIEBRE",Análisis!I56,""),"—")</f>
        <v/>
      </c>
      <c r="H57" s="67" t="str">
        <f aca="false">IFERROR(IF(Análisis!$K$56="🔴 QUIEBRE",Análisis!M56,""),"—")</f>
        <v/>
      </c>
      <c r="I57" s="71" t="str">
        <f aca="false">IFERROR(IF(Análisis!$K$56="🔴 QUIEBRE",Análisis!H56,""),"—")</f>
        <v/>
      </c>
      <c r="J57" s="67" t="str">
        <f aca="false">IFERROR(IF(Análisis!$K$56="🔴 QUIEBRE",Análisis!O56,""),"—")</f>
        <v/>
      </c>
    </row>
    <row r="58" customFormat="false" ht="15.75" hidden="false" customHeight="true" outlineLevel="0" collapsed="false">
      <c r="A58" s="67" t="str">
        <f aca="false">IFERROR(IF(Análisis!$K$57="🔴 QUIEBRE",Análisis!A57,""),"—")</f>
        <v/>
      </c>
      <c r="B58" s="68" t="str">
        <f aca="false">IFERROR(IF(Análisis!$K$57="🔴 QUIEBRE",Análisis!B57,""),"—")</f>
        <v/>
      </c>
      <c r="C58" s="67" t="str">
        <f aca="false">IFERROR(IF(Análisis!$K$57="🔴 QUIEBRE",Análisis!C57,""),"—")</f>
        <v/>
      </c>
      <c r="D58" s="67" t="str">
        <f aca="false">IFERROR(IF(Análisis!$K$57="🔴 QUIEBRE",Análisis!D57,""),"—")</f>
        <v/>
      </c>
      <c r="E58" s="69" t="str">
        <f aca="false">IFERROR(IF(Análisis!$K$57="🔴 QUIEBRE",Análisis!E57,""),"—")</f>
        <v/>
      </c>
      <c r="F58" s="70" t="str">
        <f aca="false">IFERROR(IF(Análisis!$K$57="🔴 QUIEBRE",Análisis!F57,""),"—")</f>
        <v/>
      </c>
      <c r="G58" s="67" t="str">
        <f aca="false">IFERROR(IF(Análisis!$K$57="🔴 QUIEBRE",Análisis!I57,""),"—")</f>
        <v/>
      </c>
      <c r="H58" s="67" t="str">
        <f aca="false">IFERROR(IF(Análisis!$K$57="🔴 QUIEBRE",Análisis!M57,""),"—")</f>
        <v/>
      </c>
      <c r="I58" s="71" t="str">
        <f aca="false">IFERROR(IF(Análisis!$K$57="🔴 QUIEBRE",Análisis!H57,""),"—")</f>
        <v/>
      </c>
      <c r="J58" s="67" t="str">
        <f aca="false">IFERROR(IF(Análisis!$K$57="🔴 QUIEBRE",Análisis!O57,""),"—")</f>
        <v/>
      </c>
    </row>
    <row r="59" customFormat="false" ht="15.75" hidden="false" customHeight="true" outlineLevel="0" collapsed="false">
      <c r="A59" s="67" t="str">
        <f aca="false">IFERROR(IF(Análisis!$K$58="🔴 QUIEBRE",Análisis!A58,""),"—")</f>
        <v/>
      </c>
      <c r="B59" s="68" t="str">
        <f aca="false">IFERROR(IF(Análisis!$K$58="🔴 QUIEBRE",Análisis!B58,""),"—")</f>
        <v/>
      </c>
      <c r="C59" s="67" t="str">
        <f aca="false">IFERROR(IF(Análisis!$K$58="🔴 QUIEBRE",Análisis!C58,""),"—")</f>
        <v/>
      </c>
      <c r="D59" s="67" t="str">
        <f aca="false">IFERROR(IF(Análisis!$K$58="🔴 QUIEBRE",Análisis!D58,""),"—")</f>
        <v/>
      </c>
      <c r="E59" s="69" t="str">
        <f aca="false">IFERROR(IF(Análisis!$K$58="🔴 QUIEBRE",Análisis!E58,""),"—")</f>
        <v/>
      </c>
      <c r="F59" s="70" t="str">
        <f aca="false">IFERROR(IF(Análisis!$K$58="🔴 QUIEBRE",Análisis!F58,""),"—")</f>
        <v/>
      </c>
      <c r="G59" s="67" t="str">
        <f aca="false">IFERROR(IF(Análisis!$K$58="🔴 QUIEBRE",Análisis!I58,""),"—")</f>
        <v/>
      </c>
      <c r="H59" s="67" t="str">
        <f aca="false">IFERROR(IF(Análisis!$K$58="🔴 QUIEBRE",Análisis!M58,""),"—")</f>
        <v/>
      </c>
      <c r="I59" s="71" t="str">
        <f aca="false">IFERROR(IF(Análisis!$K$58="🔴 QUIEBRE",Análisis!H58,""),"—")</f>
        <v/>
      </c>
      <c r="J59" s="67" t="str">
        <f aca="false">IFERROR(IF(Análisis!$K$58="🔴 QUIEBRE",Análisis!O58,""),"—")</f>
        <v/>
      </c>
    </row>
    <row r="60" customFormat="false" ht="15.75" hidden="false" customHeight="true" outlineLevel="0" collapsed="false">
      <c r="A60" s="67" t="str">
        <f aca="false">IFERROR(IF(Análisis!$K$59="🔴 QUIEBRE",Análisis!A59,""),"—")</f>
        <v>SKU-055</v>
      </c>
      <c r="B60" s="68" t="str">
        <f aca="false">IFERROR(IF(Análisis!$K$59="🔴 QUIEBRE",Análisis!B59,""),"—")</f>
        <v>Pasta Dental 90g</v>
      </c>
      <c r="C60" s="67" t="str">
        <f aca="false">IFERROR(IF(Análisis!$K$59="🔴 QUIEBRE",Análisis!C59,""),"—")</f>
        <v>Higiene Personal</v>
      </c>
      <c r="D60" s="67" t="n">
        <f aca="false">IFERROR(IF(Análisis!$K$59="🔴 QUIEBRE",Análisis!D59,""),"—")</f>
        <v>20</v>
      </c>
      <c r="E60" s="69" t="n">
        <f aca="false">IFERROR(IF(Análisis!$K$59="🔴 QUIEBRE",Análisis!E59,""),"—")</f>
        <v>307.166666666667</v>
      </c>
      <c r="F60" s="70" t="n">
        <f aca="false">IFERROR(IF(Análisis!$K$59="🔴 QUIEBRE",Análisis!F59,""),"—")</f>
        <v>1.95333695062398</v>
      </c>
      <c r="G60" s="67" t="n">
        <f aca="false">IFERROR(IF(Análisis!$K$59="🔴 QUIEBRE",Análisis!I59,""),"—")</f>
        <v>77</v>
      </c>
      <c r="H60" s="67" t="str">
        <f aca="false">IFERROR(IF(Análisis!$K$59="🔴 QUIEBRE",Análisis!M59,""),"—")</f>
        <v>A</v>
      </c>
      <c r="I60" s="71" t="n">
        <f aca="false">IFERROR(IF(Análisis!$K$59="🔴 QUIEBRE",Análisis!H59,""),"—")</f>
        <v>48</v>
      </c>
      <c r="J60" s="67" t="str">
        <f aca="false">IFERROR(IF(Análisis!$K$59="🔴 QUIEBRE",Análisis!O59,""),"—")</f>
        <v>REPOSICIÓN URGENTE</v>
      </c>
    </row>
    <row r="61" customFormat="false" ht="15.75" hidden="false" customHeight="true" outlineLevel="0" collapsed="false">
      <c r="A61" s="67" t="str">
        <f aca="false">IFERROR(IF(Análisis!$K$60="🔴 QUIEBRE",Análisis!A60,""),"—")</f>
        <v/>
      </c>
      <c r="B61" s="68" t="str">
        <f aca="false">IFERROR(IF(Análisis!$K$60="🔴 QUIEBRE",Análisis!B60,""),"—")</f>
        <v/>
      </c>
      <c r="C61" s="67" t="str">
        <f aca="false">IFERROR(IF(Análisis!$K$60="🔴 QUIEBRE",Análisis!C60,""),"—")</f>
        <v/>
      </c>
      <c r="D61" s="67" t="str">
        <f aca="false">IFERROR(IF(Análisis!$K$60="🔴 QUIEBRE",Análisis!D60,""),"—")</f>
        <v/>
      </c>
      <c r="E61" s="69" t="str">
        <f aca="false">IFERROR(IF(Análisis!$K$60="🔴 QUIEBRE",Análisis!E60,""),"—")</f>
        <v/>
      </c>
      <c r="F61" s="70" t="str">
        <f aca="false">IFERROR(IF(Análisis!$K$60="🔴 QUIEBRE",Análisis!F60,""),"—")</f>
        <v/>
      </c>
      <c r="G61" s="67" t="str">
        <f aca="false">IFERROR(IF(Análisis!$K$60="🔴 QUIEBRE",Análisis!I60,""),"—")</f>
        <v/>
      </c>
      <c r="H61" s="67" t="str">
        <f aca="false">IFERROR(IF(Análisis!$K$60="🔴 QUIEBRE",Análisis!M60,""),"—")</f>
        <v/>
      </c>
      <c r="I61" s="71" t="str">
        <f aca="false">IFERROR(IF(Análisis!$K$60="🔴 QUIEBRE",Análisis!H60,""),"—")</f>
        <v/>
      </c>
      <c r="J61" s="67" t="str">
        <f aca="false">IFERROR(IF(Análisis!$K$60="🔴 QUIEBRE",Análisis!O60,""),"—")</f>
        <v/>
      </c>
    </row>
    <row r="62" customFormat="false" ht="15.75" hidden="false" customHeight="true" outlineLevel="0" collapsed="false">
      <c r="A62" s="67" t="str">
        <f aca="false">IFERROR(IF(Análisis!$K$61="🔴 QUIEBRE",Análisis!A61,""),"—")</f>
        <v/>
      </c>
      <c r="B62" s="68" t="str">
        <f aca="false">IFERROR(IF(Análisis!$K$61="🔴 QUIEBRE",Análisis!B61,""),"—")</f>
        <v/>
      </c>
      <c r="C62" s="67" t="str">
        <f aca="false">IFERROR(IF(Análisis!$K$61="🔴 QUIEBRE",Análisis!C61,""),"—")</f>
        <v/>
      </c>
      <c r="D62" s="67" t="str">
        <f aca="false">IFERROR(IF(Análisis!$K$61="🔴 QUIEBRE",Análisis!D61,""),"—")</f>
        <v/>
      </c>
      <c r="E62" s="69" t="str">
        <f aca="false">IFERROR(IF(Análisis!$K$61="🔴 QUIEBRE",Análisis!E61,""),"—")</f>
        <v/>
      </c>
      <c r="F62" s="70" t="str">
        <f aca="false">IFERROR(IF(Análisis!$K$61="🔴 QUIEBRE",Análisis!F61,""),"—")</f>
        <v/>
      </c>
      <c r="G62" s="67" t="str">
        <f aca="false">IFERROR(IF(Análisis!$K$61="🔴 QUIEBRE",Análisis!I61,""),"—")</f>
        <v/>
      </c>
      <c r="H62" s="67" t="str">
        <f aca="false">IFERROR(IF(Análisis!$K$61="🔴 QUIEBRE",Análisis!M61,""),"—")</f>
        <v/>
      </c>
      <c r="I62" s="71" t="str">
        <f aca="false">IFERROR(IF(Análisis!$K$61="🔴 QUIEBRE",Análisis!H61,""),"—")</f>
        <v/>
      </c>
      <c r="J62" s="67" t="str">
        <f aca="false">IFERROR(IF(Análisis!$K$61="🔴 QUIEBRE",Análisis!O61,""),"—")</f>
        <v/>
      </c>
    </row>
    <row r="63" customFormat="false" ht="15.75" hidden="false" customHeight="true" outlineLevel="0" collapsed="false">
      <c r="A63" s="67" t="str">
        <f aca="false">IFERROR(IF(Análisis!$K$62="🔴 QUIEBRE",Análisis!A62,""),"—")</f>
        <v/>
      </c>
      <c r="B63" s="68" t="str">
        <f aca="false">IFERROR(IF(Análisis!$K$62="🔴 QUIEBRE",Análisis!B62,""),"—")</f>
        <v/>
      </c>
      <c r="C63" s="67" t="str">
        <f aca="false">IFERROR(IF(Análisis!$K$62="🔴 QUIEBRE",Análisis!C62,""),"—")</f>
        <v/>
      </c>
      <c r="D63" s="67" t="str">
        <f aca="false">IFERROR(IF(Análisis!$K$62="🔴 QUIEBRE",Análisis!D62,""),"—")</f>
        <v/>
      </c>
      <c r="E63" s="69" t="str">
        <f aca="false">IFERROR(IF(Análisis!$K$62="🔴 QUIEBRE",Análisis!E62,""),"—")</f>
        <v/>
      </c>
      <c r="F63" s="70" t="str">
        <f aca="false">IFERROR(IF(Análisis!$K$62="🔴 QUIEBRE",Análisis!F62,""),"—")</f>
        <v/>
      </c>
      <c r="G63" s="67" t="str">
        <f aca="false">IFERROR(IF(Análisis!$K$62="🔴 QUIEBRE",Análisis!I62,""),"—")</f>
        <v/>
      </c>
      <c r="H63" s="67" t="str">
        <f aca="false">IFERROR(IF(Análisis!$K$62="🔴 QUIEBRE",Análisis!M62,""),"—")</f>
        <v/>
      </c>
      <c r="I63" s="71" t="str">
        <f aca="false">IFERROR(IF(Análisis!$K$62="🔴 QUIEBRE",Análisis!H62,""),"—")</f>
        <v/>
      </c>
      <c r="J63" s="67" t="str">
        <f aca="false">IFERROR(IF(Análisis!$K$62="🔴 QUIEBRE",Análisis!O62,""),"—")</f>
        <v/>
      </c>
    </row>
    <row r="64" customFormat="false" ht="15.75" hidden="false" customHeight="true" outlineLevel="0" collapsed="false">
      <c r="A64" s="67" t="str">
        <f aca="false">IFERROR(IF(Análisis!$K$63="🔴 QUIEBRE",Análisis!A63,""),"—")</f>
        <v/>
      </c>
      <c r="B64" s="68" t="str">
        <f aca="false">IFERROR(IF(Análisis!$K$63="🔴 QUIEBRE",Análisis!B63,""),"—")</f>
        <v/>
      </c>
      <c r="C64" s="67" t="str">
        <f aca="false">IFERROR(IF(Análisis!$K$63="🔴 QUIEBRE",Análisis!C63,""),"—")</f>
        <v/>
      </c>
      <c r="D64" s="67" t="str">
        <f aca="false">IFERROR(IF(Análisis!$K$63="🔴 QUIEBRE",Análisis!D63,""),"—")</f>
        <v/>
      </c>
      <c r="E64" s="69" t="str">
        <f aca="false">IFERROR(IF(Análisis!$K$63="🔴 QUIEBRE",Análisis!E63,""),"—")</f>
        <v/>
      </c>
      <c r="F64" s="70" t="str">
        <f aca="false">IFERROR(IF(Análisis!$K$63="🔴 QUIEBRE",Análisis!F63,""),"—")</f>
        <v/>
      </c>
      <c r="G64" s="67" t="str">
        <f aca="false">IFERROR(IF(Análisis!$K$63="🔴 QUIEBRE",Análisis!I63,""),"—")</f>
        <v/>
      </c>
      <c r="H64" s="67" t="str">
        <f aca="false">IFERROR(IF(Análisis!$K$63="🔴 QUIEBRE",Análisis!M63,""),"—")</f>
        <v/>
      </c>
      <c r="I64" s="71" t="str">
        <f aca="false">IFERROR(IF(Análisis!$K$63="🔴 QUIEBRE",Análisis!H63,""),"—")</f>
        <v/>
      </c>
      <c r="J64" s="67" t="str">
        <f aca="false">IFERROR(IF(Análisis!$K$63="🔴 QUIEBRE",Análisis!O63,""),"—")</f>
        <v/>
      </c>
    </row>
    <row r="65" customFormat="false" ht="15.75" hidden="false" customHeight="true" outlineLevel="0" collapsed="false">
      <c r="A65" s="67" t="str">
        <f aca="false">IFERROR(IF(Análisis!$K$64="🔴 QUIEBRE",Análisis!A64,""),"—")</f>
        <v/>
      </c>
      <c r="B65" s="68" t="str">
        <f aca="false">IFERROR(IF(Análisis!$K$64="🔴 QUIEBRE",Análisis!B64,""),"—")</f>
        <v/>
      </c>
      <c r="C65" s="67" t="str">
        <f aca="false">IFERROR(IF(Análisis!$K$64="🔴 QUIEBRE",Análisis!C64,""),"—")</f>
        <v/>
      </c>
      <c r="D65" s="67" t="str">
        <f aca="false">IFERROR(IF(Análisis!$K$64="🔴 QUIEBRE",Análisis!D64,""),"—")</f>
        <v/>
      </c>
      <c r="E65" s="69" t="str">
        <f aca="false">IFERROR(IF(Análisis!$K$64="🔴 QUIEBRE",Análisis!E64,""),"—")</f>
        <v/>
      </c>
      <c r="F65" s="70" t="str">
        <f aca="false">IFERROR(IF(Análisis!$K$64="🔴 QUIEBRE",Análisis!F64,""),"—")</f>
        <v/>
      </c>
      <c r="G65" s="67" t="str">
        <f aca="false">IFERROR(IF(Análisis!$K$64="🔴 QUIEBRE",Análisis!I64,""),"—")</f>
        <v/>
      </c>
      <c r="H65" s="67" t="str">
        <f aca="false">IFERROR(IF(Análisis!$K$64="🔴 QUIEBRE",Análisis!M64,""),"—")</f>
        <v/>
      </c>
      <c r="I65" s="71" t="str">
        <f aca="false">IFERROR(IF(Análisis!$K$64="🔴 QUIEBRE",Análisis!H64,""),"—")</f>
        <v/>
      </c>
      <c r="J65" s="67" t="str">
        <f aca="false">IFERROR(IF(Análisis!$K$64="🔴 QUIEBRE",Análisis!O64,""),"—")</f>
        <v/>
      </c>
    </row>
    <row r="66" customFormat="false" ht="15.75" hidden="false" customHeight="true" outlineLevel="0" collapsed="false">
      <c r="A66" s="67" t="str">
        <f aca="false">IFERROR(IF(Análisis!$K$65="🔴 QUIEBRE",Análisis!A65,""),"—")</f>
        <v/>
      </c>
      <c r="B66" s="68" t="str">
        <f aca="false">IFERROR(IF(Análisis!$K$65="🔴 QUIEBRE",Análisis!B65,""),"—")</f>
        <v/>
      </c>
      <c r="C66" s="67" t="str">
        <f aca="false">IFERROR(IF(Análisis!$K$65="🔴 QUIEBRE",Análisis!C65,""),"—")</f>
        <v/>
      </c>
      <c r="D66" s="67" t="str">
        <f aca="false">IFERROR(IF(Análisis!$K$65="🔴 QUIEBRE",Análisis!D65,""),"—")</f>
        <v/>
      </c>
      <c r="E66" s="69" t="str">
        <f aca="false">IFERROR(IF(Análisis!$K$65="🔴 QUIEBRE",Análisis!E65,""),"—")</f>
        <v/>
      </c>
      <c r="F66" s="70" t="str">
        <f aca="false">IFERROR(IF(Análisis!$K$65="🔴 QUIEBRE",Análisis!F65,""),"—")</f>
        <v/>
      </c>
      <c r="G66" s="67" t="str">
        <f aca="false">IFERROR(IF(Análisis!$K$65="🔴 QUIEBRE",Análisis!I65,""),"—")</f>
        <v/>
      </c>
      <c r="H66" s="67" t="str">
        <f aca="false">IFERROR(IF(Análisis!$K$65="🔴 QUIEBRE",Análisis!M65,""),"—")</f>
        <v/>
      </c>
      <c r="I66" s="71" t="str">
        <f aca="false">IFERROR(IF(Análisis!$K$65="🔴 QUIEBRE",Análisis!H65,""),"—")</f>
        <v/>
      </c>
      <c r="J66" s="67" t="str">
        <f aca="false">IFERROR(IF(Análisis!$K$65="🔴 QUIEBRE",Análisis!O65,""),"—")</f>
        <v/>
      </c>
    </row>
    <row r="67" customFormat="false" ht="15.75" hidden="false" customHeight="true" outlineLevel="0" collapsed="false">
      <c r="A67" s="67" t="str">
        <f aca="false">IFERROR(IF(Análisis!$K$66="🔴 QUIEBRE",Análisis!A66,""),"—")</f>
        <v/>
      </c>
      <c r="B67" s="68" t="str">
        <f aca="false">IFERROR(IF(Análisis!$K$66="🔴 QUIEBRE",Análisis!B66,""),"—")</f>
        <v/>
      </c>
      <c r="C67" s="67" t="str">
        <f aca="false">IFERROR(IF(Análisis!$K$66="🔴 QUIEBRE",Análisis!C66,""),"—")</f>
        <v/>
      </c>
      <c r="D67" s="67" t="str">
        <f aca="false">IFERROR(IF(Análisis!$K$66="🔴 QUIEBRE",Análisis!D66,""),"—")</f>
        <v/>
      </c>
      <c r="E67" s="69" t="str">
        <f aca="false">IFERROR(IF(Análisis!$K$66="🔴 QUIEBRE",Análisis!E66,""),"—")</f>
        <v/>
      </c>
      <c r="F67" s="70" t="str">
        <f aca="false">IFERROR(IF(Análisis!$K$66="🔴 QUIEBRE",Análisis!F66,""),"—")</f>
        <v/>
      </c>
      <c r="G67" s="67" t="str">
        <f aca="false">IFERROR(IF(Análisis!$K$66="🔴 QUIEBRE",Análisis!I66,""),"—")</f>
        <v/>
      </c>
      <c r="H67" s="67" t="str">
        <f aca="false">IFERROR(IF(Análisis!$K$66="🔴 QUIEBRE",Análisis!M66,""),"—")</f>
        <v/>
      </c>
      <c r="I67" s="71" t="str">
        <f aca="false">IFERROR(IF(Análisis!$K$66="🔴 QUIEBRE",Análisis!H66,""),"—")</f>
        <v/>
      </c>
      <c r="J67" s="67" t="str">
        <f aca="false">IFERROR(IF(Análisis!$K$66="🔴 QUIEBRE",Análisis!O66,""),"—")</f>
        <v/>
      </c>
    </row>
    <row r="68" customFormat="false" ht="15.75" hidden="false" customHeight="true" outlineLevel="0" collapsed="false">
      <c r="A68" s="67" t="str">
        <f aca="false">IFERROR(IF(Análisis!$K$67="🔴 QUIEBRE",Análisis!A67,""),"—")</f>
        <v/>
      </c>
      <c r="B68" s="68" t="str">
        <f aca="false">IFERROR(IF(Análisis!$K$67="🔴 QUIEBRE",Análisis!B67,""),"—")</f>
        <v/>
      </c>
      <c r="C68" s="67" t="str">
        <f aca="false">IFERROR(IF(Análisis!$K$67="🔴 QUIEBRE",Análisis!C67,""),"—")</f>
        <v/>
      </c>
      <c r="D68" s="67" t="str">
        <f aca="false">IFERROR(IF(Análisis!$K$67="🔴 QUIEBRE",Análisis!D67,""),"—")</f>
        <v/>
      </c>
      <c r="E68" s="69" t="str">
        <f aca="false">IFERROR(IF(Análisis!$K$67="🔴 QUIEBRE",Análisis!E67,""),"—")</f>
        <v/>
      </c>
      <c r="F68" s="70" t="str">
        <f aca="false">IFERROR(IF(Análisis!$K$67="🔴 QUIEBRE",Análisis!F67,""),"—")</f>
        <v/>
      </c>
      <c r="G68" s="67" t="str">
        <f aca="false">IFERROR(IF(Análisis!$K$67="🔴 QUIEBRE",Análisis!I67,""),"—")</f>
        <v/>
      </c>
      <c r="H68" s="67" t="str">
        <f aca="false">IFERROR(IF(Análisis!$K$67="🔴 QUIEBRE",Análisis!M67,""),"—")</f>
        <v/>
      </c>
      <c r="I68" s="71" t="str">
        <f aca="false">IFERROR(IF(Análisis!$K$67="🔴 QUIEBRE",Análisis!H67,""),"—")</f>
        <v/>
      </c>
      <c r="J68" s="67" t="str">
        <f aca="false">IFERROR(IF(Análisis!$K$67="🔴 QUIEBRE",Análisis!O67,""),"—")</f>
        <v/>
      </c>
    </row>
    <row r="69" customFormat="false" ht="15.75" hidden="false" customHeight="true" outlineLevel="0" collapsed="false">
      <c r="A69" s="67" t="str">
        <f aca="false">IFERROR(IF(Análisis!$K$68="🔴 QUIEBRE",Análisis!A68,""),"—")</f>
        <v/>
      </c>
      <c r="B69" s="68" t="str">
        <f aca="false">IFERROR(IF(Análisis!$K$68="🔴 QUIEBRE",Análisis!B68,""),"—")</f>
        <v/>
      </c>
      <c r="C69" s="67" t="str">
        <f aca="false">IFERROR(IF(Análisis!$K$68="🔴 QUIEBRE",Análisis!C68,""),"—")</f>
        <v/>
      </c>
      <c r="D69" s="67" t="str">
        <f aca="false">IFERROR(IF(Análisis!$K$68="🔴 QUIEBRE",Análisis!D68,""),"—")</f>
        <v/>
      </c>
      <c r="E69" s="69" t="str">
        <f aca="false">IFERROR(IF(Análisis!$K$68="🔴 QUIEBRE",Análisis!E68,""),"—")</f>
        <v/>
      </c>
      <c r="F69" s="70" t="str">
        <f aca="false">IFERROR(IF(Análisis!$K$68="🔴 QUIEBRE",Análisis!F68,""),"—")</f>
        <v/>
      </c>
      <c r="G69" s="67" t="str">
        <f aca="false">IFERROR(IF(Análisis!$K$68="🔴 QUIEBRE",Análisis!I68,""),"—")</f>
        <v/>
      </c>
      <c r="H69" s="67" t="str">
        <f aca="false">IFERROR(IF(Análisis!$K$68="🔴 QUIEBRE",Análisis!M68,""),"—")</f>
        <v/>
      </c>
      <c r="I69" s="71" t="str">
        <f aca="false">IFERROR(IF(Análisis!$K$68="🔴 QUIEBRE",Análisis!H68,""),"—")</f>
        <v/>
      </c>
      <c r="J69" s="67" t="str">
        <f aca="false">IFERROR(IF(Análisis!$K$68="🔴 QUIEBRE",Análisis!O68,""),"—")</f>
        <v/>
      </c>
    </row>
    <row r="70" customFormat="false" ht="15.75" hidden="false" customHeight="true" outlineLevel="0" collapsed="false">
      <c r="A70" s="67" t="str">
        <f aca="false">IFERROR(IF(Análisis!$K$69="🔴 QUIEBRE",Análisis!A69,""),"—")</f>
        <v/>
      </c>
      <c r="B70" s="68" t="str">
        <f aca="false">IFERROR(IF(Análisis!$K$69="🔴 QUIEBRE",Análisis!B69,""),"—")</f>
        <v/>
      </c>
      <c r="C70" s="67" t="str">
        <f aca="false">IFERROR(IF(Análisis!$K$69="🔴 QUIEBRE",Análisis!C69,""),"—")</f>
        <v/>
      </c>
      <c r="D70" s="67" t="str">
        <f aca="false">IFERROR(IF(Análisis!$K$69="🔴 QUIEBRE",Análisis!D69,""),"—")</f>
        <v/>
      </c>
      <c r="E70" s="69" t="str">
        <f aca="false">IFERROR(IF(Análisis!$K$69="🔴 QUIEBRE",Análisis!E69,""),"—")</f>
        <v/>
      </c>
      <c r="F70" s="70" t="str">
        <f aca="false">IFERROR(IF(Análisis!$K$69="🔴 QUIEBRE",Análisis!F69,""),"—")</f>
        <v/>
      </c>
      <c r="G70" s="67" t="str">
        <f aca="false">IFERROR(IF(Análisis!$K$69="🔴 QUIEBRE",Análisis!I69,""),"—")</f>
        <v/>
      </c>
      <c r="H70" s="67" t="str">
        <f aca="false">IFERROR(IF(Análisis!$K$69="🔴 QUIEBRE",Análisis!M69,""),"—")</f>
        <v/>
      </c>
      <c r="I70" s="71" t="str">
        <f aca="false">IFERROR(IF(Análisis!$K$69="🔴 QUIEBRE",Análisis!H69,""),"—")</f>
        <v/>
      </c>
      <c r="J70" s="67" t="str">
        <f aca="false">IFERROR(IF(Análisis!$K$69="🔴 QUIEBRE",Análisis!O69,""),"—")</f>
        <v/>
      </c>
    </row>
    <row r="71" customFormat="false" ht="15.75" hidden="false" customHeight="true" outlineLevel="0" collapsed="false">
      <c r="A71" s="67" t="str">
        <f aca="false">IFERROR(IF(Análisis!$K$70="🔴 QUIEBRE",Análisis!A70,""),"—")</f>
        <v/>
      </c>
      <c r="B71" s="68" t="str">
        <f aca="false">IFERROR(IF(Análisis!$K$70="🔴 QUIEBRE",Análisis!B70,""),"—")</f>
        <v/>
      </c>
      <c r="C71" s="67" t="str">
        <f aca="false">IFERROR(IF(Análisis!$K$70="🔴 QUIEBRE",Análisis!C70,""),"—")</f>
        <v/>
      </c>
      <c r="D71" s="67" t="str">
        <f aca="false">IFERROR(IF(Análisis!$K$70="🔴 QUIEBRE",Análisis!D70,""),"—")</f>
        <v/>
      </c>
      <c r="E71" s="69" t="str">
        <f aca="false">IFERROR(IF(Análisis!$K$70="🔴 QUIEBRE",Análisis!E70,""),"—")</f>
        <v/>
      </c>
      <c r="F71" s="70" t="str">
        <f aca="false">IFERROR(IF(Análisis!$K$70="🔴 QUIEBRE",Análisis!F70,""),"—")</f>
        <v/>
      </c>
      <c r="G71" s="67" t="str">
        <f aca="false">IFERROR(IF(Análisis!$K$70="🔴 QUIEBRE",Análisis!I70,""),"—")</f>
        <v/>
      </c>
      <c r="H71" s="67" t="str">
        <f aca="false">IFERROR(IF(Análisis!$K$70="🔴 QUIEBRE",Análisis!M70,""),"—")</f>
        <v/>
      </c>
      <c r="I71" s="71" t="str">
        <f aca="false">IFERROR(IF(Análisis!$K$70="🔴 QUIEBRE",Análisis!H70,""),"—")</f>
        <v/>
      </c>
      <c r="J71" s="67" t="str">
        <f aca="false">IFERROR(IF(Análisis!$K$70="🔴 QUIEBRE",Análisis!O70,""),"—")</f>
        <v/>
      </c>
    </row>
    <row r="72" customFormat="false" ht="15.75" hidden="false" customHeight="true" outlineLevel="0" collapsed="false">
      <c r="A72" s="67" t="str">
        <f aca="false">IFERROR(IF(Análisis!$K$71="🔴 QUIEBRE",Análisis!A71,""),"—")</f>
        <v>SKU-067</v>
      </c>
      <c r="B72" s="68" t="str">
        <f aca="false">IFERROR(IF(Análisis!$K$71="🔴 QUIEBRE",Análisis!B71,""),"—")</f>
        <v>Afeitadora Descartable x5</v>
      </c>
      <c r="C72" s="67" t="str">
        <f aca="false">IFERROR(IF(Análisis!$K$71="🔴 QUIEBRE",Análisis!C71,""),"—")</f>
        <v>Higiene Personal</v>
      </c>
      <c r="D72" s="67" t="n">
        <f aca="false">IFERROR(IF(Análisis!$K$71="🔴 QUIEBRE",Análisis!D71,""),"—")</f>
        <v>32</v>
      </c>
      <c r="E72" s="69" t="n">
        <f aca="false">IFERROR(IF(Análisis!$K$71="🔴 QUIEBRE",Análisis!E71,""),"—")</f>
        <v>190.5</v>
      </c>
      <c r="F72" s="70" t="n">
        <f aca="false">IFERROR(IF(Análisis!$K$71="🔴 QUIEBRE",Análisis!F71,""),"—")</f>
        <v>5.03937007874016</v>
      </c>
      <c r="G72" s="67" t="n">
        <f aca="false">IFERROR(IF(Análisis!$K$71="🔴 QUIEBRE",Análisis!I71,""),"—")</f>
        <v>51</v>
      </c>
      <c r="H72" s="67" t="str">
        <f aca="false">IFERROR(IF(Análisis!$K$71="🔴 QUIEBRE",Análisis!M71,""),"—")</f>
        <v>A</v>
      </c>
      <c r="I72" s="71" t="n">
        <f aca="false">IFERROR(IF(Análisis!$K$71="🔴 QUIEBRE",Análisis!H71,""),"—")</f>
        <v>153.6</v>
      </c>
      <c r="J72" s="67" t="str">
        <f aca="false">IFERROR(IF(Análisis!$K$71="🔴 QUIEBRE",Análisis!O71,""),"—")</f>
        <v>REPOSICIÓN URGENTE</v>
      </c>
    </row>
    <row r="73" customFormat="false" ht="15.75" hidden="false" customHeight="true" outlineLevel="0" collapsed="false">
      <c r="A73" s="67" t="str">
        <f aca="false">IFERROR(IF(Análisis!$K$72="🔴 QUIEBRE",Análisis!A72,""),"—")</f>
        <v/>
      </c>
      <c r="B73" s="68" t="str">
        <f aca="false">IFERROR(IF(Análisis!$K$72="🔴 QUIEBRE",Análisis!B72,""),"—")</f>
        <v/>
      </c>
      <c r="C73" s="67" t="str">
        <f aca="false">IFERROR(IF(Análisis!$K$72="🔴 QUIEBRE",Análisis!C72,""),"—")</f>
        <v/>
      </c>
      <c r="D73" s="67" t="str">
        <f aca="false">IFERROR(IF(Análisis!$K$72="🔴 QUIEBRE",Análisis!D72,""),"—")</f>
        <v/>
      </c>
      <c r="E73" s="69" t="str">
        <f aca="false">IFERROR(IF(Análisis!$K$72="🔴 QUIEBRE",Análisis!E72,""),"—")</f>
        <v/>
      </c>
      <c r="F73" s="70" t="str">
        <f aca="false">IFERROR(IF(Análisis!$K$72="🔴 QUIEBRE",Análisis!F72,""),"—")</f>
        <v/>
      </c>
      <c r="G73" s="67" t="str">
        <f aca="false">IFERROR(IF(Análisis!$K$72="🔴 QUIEBRE",Análisis!I72,""),"—")</f>
        <v/>
      </c>
      <c r="H73" s="67" t="str">
        <f aca="false">IFERROR(IF(Análisis!$K$72="🔴 QUIEBRE",Análisis!M72,""),"—")</f>
        <v/>
      </c>
      <c r="I73" s="71" t="str">
        <f aca="false">IFERROR(IF(Análisis!$K$72="🔴 QUIEBRE",Análisis!H72,""),"—")</f>
        <v/>
      </c>
      <c r="J73" s="67" t="str">
        <f aca="false">IFERROR(IF(Análisis!$K$72="🔴 QUIEBRE",Análisis!O72,""),"—")</f>
        <v/>
      </c>
    </row>
    <row r="74" customFormat="false" ht="15.75" hidden="false" customHeight="true" outlineLevel="0" collapsed="false">
      <c r="A74" s="67" t="str">
        <f aca="false">IFERROR(IF(Análisis!$K$73="🔴 QUIEBRE",Análisis!A73,""),"—")</f>
        <v/>
      </c>
      <c r="B74" s="68" t="str">
        <f aca="false">IFERROR(IF(Análisis!$K$73="🔴 QUIEBRE",Análisis!B73,""),"—")</f>
        <v/>
      </c>
      <c r="C74" s="67" t="str">
        <f aca="false">IFERROR(IF(Análisis!$K$73="🔴 QUIEBRE",Análisis!C73,""),"—")</f>
        <v/>
      </c>
      <c r="D74" s="67" t="str">
        <f aca="false">IFERROR(IF(Análisis!$K$73="🔴 QUIEBRE",Análisis!D73,""),"—")</f>
        <v/>
      </c>
      <c r="E74" s="69" t="str">
        <f aca="false">IFERROR(IF(Análisis!$K$73="🔴 QUIEBRE",Análisis!E73,""),"—")</f>
        <v/>
      </c>
      <c r="F74" s="70" t="str">
        <f aca="false">IFERROR(IF(Análisis!$K$73="🔴 QUIEBRE",Análisis!F73,""),"—")</f>
        <v/>
      </c>
      <c r="G74" s="67" t="str">
        <f aca="false">IFERROR(IF(Análisis!$K$73="🔴 QUIEBRE",Análisis!I73,""),"—")</f>
        <v/>
      </c>
      <c r="H74" s="67" t="str">
        <f aca="false">IFERROR(IF(Análisis!$K$73="🔴 QUIEBRE",Análisis!M73,""),"—")</f>
        <v/>
      </c>
      <c r="I74" s="71" t="str">
        <f aca="false">IFERROR(IF(Análisis!$K$73="🔴 QUIEBRE",Análisis!H73,""),"—")</f>
        <v/>
      </c>
      <c r="J74" s="67" t="str">
        <f aca="false">IFERROR(IF(Análisis!$K$73="🔴 QUIEBRE",Análisis!O73,""),"—")</f>
        <v/>
      </c>
    </row>
    <row r="75" customFormat="false" ht="15.75" hidden="false" customHeight="true" outlineLevel="0" collapsed="false">
      <c r="A75" s="67" t="str">
        <f aca="false">IFERROR(IF(Análisis!$K$74="🔴 QUIEBRE",Análisis!A74,""),"—")</f>
        <v/>
      </c>
      <c r="B75" s="68" t="str">
        <f aca="false">IFERROR(IF(Análisis!$K$74="🔴 QUIEBRE",Análisis!B74,""),"—")</f>
        <v/>
      </c>
      <c r="C75" s="67" t="str">
        <f aca="false">IFERROR(IF(Análisis!$K$74="🔴 QUIEBRE",Análisis!C74,""),"—")</f>
        <v/>
      </c>
      <c r="D75" s="67" t="str">
        <f aca="false">IFERROR(IF(Análisis!$K$74="🔴 QUIEBRE",Análisis!D74,""),"—")</f>
        <v/>
      </c>
      <c r="E75" s="69" t="str">
        <f aca="false">IFERROR(IF(Análisis!$K$74="🔴 QUIEBRE",Análisis!E74,""),"—")</f>
        <v/>
      </c>
      <c r="F75" s="70" t="str">
        <f aca="false">IFERROR(IF(Análisis!$K$74="🔴 QUIEBRE",Análisis!F74,""),"—")</f>
        <v/>
      </c>
      <c r="G75" s="67" t="str">
        <f aca="false">IFERROR(IF(Análisis!$K$74="🔴 QUIEBRE",Análisis!I74,""),"—")</f>
        <v/>
      </c>
      <c r="H75" s="67" t="str">
        <f aca="false">IFERROR(IF(Análisis!$K$74="🔴 QUIEBRE",Análisis!M74,""),"—")</f>
        <v/>
      </c>
      <c r="I75" s="71" t="str">
        <f aca="false">IFERROR(IF(Análisis!$K$74="🔴 QUIEBRE",Análisis!H74,""),"—")</f>
        <v/>
      </c>
      <c r="J75" s="67" t="str">
        <f aca="false">IFERROR(IF(Análisis!$K$74="🔴 QUIEBRE",Análisis!O74,""),"—")</f>
        <v/>
      </c>
    </row>
    <row r="76" customFormat="false" ht="15.75" hidden="false" customHeight="true" outlineLevel="0" collapsed="false">
      <c r="A76" s="67" t="str">
        <f aca="false">IFERROR(IF(Análisis!$K$75="🔴 QUIEBRE",Análisis!A75,""),"—")</f>
        <v/>
      </c>
      <c r="B76" s="68" t="str">
        <f aca="false">IFERROR(IF(Análisis!$K$75="🔴 QUIEBRE",Análisis!B75,""),"—")</f>
        <v/>
      </c>
      <c r="C76" s="67" t="str">
        <f aca="false">IFERROR(IF(Análisis!$K$75="🔴 QUIEBRE",Análisis!C75,""),"—")</f>
        <v/>
      </c>
      <c r="D76" s="67" t="str">
        <f aca="false">IFERROR(IF(Análisis!$K$75="🔴 QUIEBRE",Análisis!D75,""),"—")</f>
        <v/>
      </c>
      <c r="E76" s="69" t="str">
        <f aca="false">IFERROR(IF(Análisis!$K$75="🔴 QUIEBRE",Análisis!E75,""),"—")</f>
        <v/>
      </c>
      <c r="F76" s="70" t="str">
        <f aca="false">IFERROR(IF(Análisis!$K$75="🔴 QUIEBRE",Análisis!F75,""),"—")</f>
        <v/>
      </c>
      <c r="G76" s="67" t="str">
        <f aca="false">IFERROR(IF(Análisis!$K$75="🔴 QUIEBRE",Análisis!I75,""),"—")</f>
        <v/>
      </c>
      <c r="H76" s="67" t="str">
        <f aca="false">IFERROR(IF(Análisis!$K$75="🔴 QUIEBRE",Análisis!M75,""),"—")</f>
        <v/>
      </c>
      <c r="I76" s="71" t="str">
        <f aca="false">IFERROR(IF(Análisis!$K$75="🔴 QUIEBRE",Análisis!H75,""),"—")</f>
        <v/>
      </c>
      <c r="J76" s="67" t="str">
        <f aca="false">IFERROR(IF(Análisis!$K$75="🔴 QUIEBRE",Análisis!O75,""),"—")</f>
        <v/>
      </c>
    </row>
    <row r="77" customFormat="false" ht="15.75" hidden="false" customHeight="true" outlineLevel="0" collapsed="false">
      <c r="A77" s="67" t="str">
        <f aca="false">IFERROR(IF(Análisis!$K$76="🔴 QUIEBRE",Análisis!A76,""),"—")</f>
        <v/>
      </c>
      <c r="B77" s="68" t="str">
        <f aca="false">IFERROR(IF(Análisis!$K$76="🔴 QUIEBRE",Análisis!B76,""),"—")</f>
        <v/>
      </c>
      <c r="C77" s="67" t="str">
        <f aca="false">IFERROR(IF(Análisis!$K$76="🔴 QUIEBRE",Análisis!C76,""),"—")</f>
        <v/>
      </c>
      <c r="D77" s="67" t="str">
        <f aca="false">IFERROR(IF(Análisis!$K$76="🔴 QUIEBRE",Análisis!D76,""),"—")</f>
        <v/>
      </c>
      <c r="E77" s="69" t="str">
        <f aca="false">IFERROR(IF(Análisis!$K$76="🔴 QUIEBRE",Análisis!E76,""),"—")</f>
        <v/>
      </c>
      <c r="F77" s="70" t="str">
        <f aca="false">IFERROR(IF(Análisis!$K$76="🔴 QUIEBRE",Análisis!F76,""),"—")</f>
        <v/>
      </c>
      <c r="G77" s="67" t="str">
        <f aca="false">IFERROR(IF(Análisis!$K$76="🔴 QUIEBRE",Análisis!I76,""),"—")</f>
        <v/>
      </c>
      <c r="H77" s="67" t="str">
        <f aca="false">IFERROR(IF(Análisis!$K$76="🔴 QUIEBRE",Análisis!M76,""),"—")</f>
        <v/>
      </c>
      <c r="I77" s="71" t="str">
        <f aca="false">IFERROR(IF(Análisis!$K$76="🔴 QUIEBRE",Análisis!H76,""),"—")</f>
        <v/>
      </c>
      <c r="J77" s="67" t="str">
        <f aca="false">IFERROR(IF(Análisis!$K$76="🔴 QUIEBRE",Análisis!O76,""),"—")</f>
        <v/>
      </c>
    </row>
    <row r="78" customFormat="false" ht="15.75" hidden="false" customHeight="true" outlineLevel="0" collapsed="false">
      <c r="A78" s="67" t="str">
        <f aca="false">IFERROR(IF(Análisis!$K$77="🔴 QUIEBRE",Análisis!A77,""),"—")</f>
        <v>SKU-073</v>
      </c>
      <c r="B78" s="68" t="str">
        <f aca="false">IFERROR(IF(Análisis!$K$77="🔴 QUIEBRE",Análisis!B77,""),"—")</f>
        <v>Loción After Shave 100ml</v>
      </c>
      <c r="C78" s="67" t="str">
        <f aca="false">IFERROR(IF(Análisis!$K$77="🔴 QUIEBRE",Análisis!C77,""),"—")</f>
        <v>Higiene Personal</v>
      </c>
      <c r="D78" s="67" t="n">
        <f aca="false">IFERROR(IF(Análisis!$K$77="🔴 QUIEBRE",Análisis!D77,""),"—")</f>
        <v>36</v>
      </c>
      <c r="E78" s="69" t="n">
        <f aca="false">IFERROR(IF(Análisis!$K$77="🔴 QUIEBRE",Análisis!E77,""),"—")</f>
        <v>166</v>
      </c>
      <c r="F78" s="70" t="n">
        <f aca="false">IFERROR(IF(Análisis!$K$77="🔴 QUIEBRE",Análisis!F77,""),"—")</f>
        <v>6.50602409638554</v>
      </c>
      <c r="G78" s="67" t="n">
        <f aca="false">IFERROR(IF(Análisis!$K$77="🔴 QUIEBRE",Análisis!I77,""),"—")</f>
        <v>39</v>
      </c>
      <c r="H78" s="67" t="str">
        <f aca="false">IFERROR(IF(Análisis!$K$77="🔴 QUIEBRE",Análisis!M77,""),"—")</f>
        <v>A</v>
      </c>
      <c r="I78" s="71" t="n">
        <f aca="false">IFERROR(IF(Análisis!$K$77="🔴 QUIEBRE",Análisis!H77,""),"—")</f>
        <v>244.8</v>
      </c>
      <c r="J78" s="67" t="str">
        <f aca="false">IFERROR(IF(Análisis!$K$77="🔴 QUIEBRE",Análisis!O77,""),"—")</f>
        <v>REPOSICIÓN URGENTE</v>
      </c>
    </row>
    <row r="79" customFormat="false" ht="15.75" hidden="false" customHeight="true" outlineLevel="0" collapsed="false">
      <c r="A79" s="67" t="str">
        <f aca="false">IFERROR(IF(Análisis!$K$78="🔴 QUIEBRE",Análisis!A78,""),"—")</f>
        <v/>
      </c>
      <c r="B79" s="68" t="str">
        <f aca="false">IFERROR(IF(Análisis!$K$78="🔴 QUIEBRE",Análisis!B78,""),"—")</f>
        <v/>
      </c>
      <c r="C79" s="67" t="str">
        <f aca="false">IFERROR(IF(Análisis!$K$78="🔴 QUIEBRE",Análisis!C78,""),"—")</f>
        <v/>
      </c>
      <c r="D79" s="67" t="str">
        <f aca="false">IFERROR(IF(Análisis!$K$78="🔴 QUIEBRE",Análisis!D78,""),"—")</f>
        <v/>
      </c>
      <c r="E79" s="69" t="str">
        <f aca="false">IFERROR(IF(Análisis!$K$78="🔴 QUIEBRE",Análisis!E78,""),"—")</f>
        <v/>
      </c>
      <c r="F79" s="70" t="str">
        <f aca="false">IFERROR(IF(Análisis!$K$78="🔴 QUIEBRE",Análisis!F78,""),"—")</f>
        <v/>
      </c>
      <c r="G79" s="67" t="str">
        <f aca="false">IFERROR(IF(Análisis!$K$78="🔴 QUIEBRE",Análisis!I78,""),"—")</f>
        <v/>
      </c>
      <c r="H79" s="67" t="str">
        <f aca="false">IFERROR(IF(Análisis!$K$78="🔴 QUIEBRE",Análisis!M78,""),"—")</f>
        <v/>
      </c>
      <c r="I79" s="71" t="str">
        <f aca="false">IFERROR(IF(Análisis!$K$78="🔴 QUIEBRE",Análisis!H78,""),"—")</f>
        <v/>
      </c>
      <c r="J79" s="67" t="str">
        <f aca="false">IFERROR(IF(Análisis!$K$78="🔴 QUIEBRE",Análisis!O78,""),"—")</f>
        <v/>
      </c>
    </row>
    <row r="80" customFormat="false" ht="15.75" hidden="false" customHeight="true" outlineLevel="0" collapsed="false">
      <c r="A80" s="67" t="str">
        <f aca="false">IFERROR(IF(Análisis!$K$79="🔴 QUIEBRE",Análisis!A79,""),"—")</f>
        <v/>
      </c>
      <c r="B80" s="68" t="str">
        <f aca="false">IFERROR(IF(Análisis!$K$79="🔴 QUIEBRE",Análisis!B79,""),"—")</f>
        <v/>
      </c>
      <c r="C80" s="67" t="str">
        <f aca="false">IFERROR(IF(Análisis!$K$79="🔴 QUIEBRE",Análisis!C79,""),"—")</f>
        <v/>
      </c>
      <c r="D80" s="67" t="str">
        <f aca="false">IFERROR(IF(Análisis!$K$79="🔴 QUIEBRE",Análisis!D79,""),"—")</f>
        <v/>
      </c>
      <c r="E80" s="69" t="str">
        <f aca="false">IFERROR(IF(Análisis!$K$79="🔴 QUIEBRE",Análisis!E79,""),"—")</f>
        <v/>
      </c>
      <c r="F80" s="70" t="str">
        <f aca="false">IFERROR(IF(Análisis!$K$79="🔴 QUIEBRE",Análisis!F79,""),"—")</f>
        <v/>
      </c>
      <c r="G80" s="67" t="str">
        <f aca="false">IFERROR(IF(Análisis!$K$79="🔴 QUIEBRE",Análisis!I79,""),"—")</f>
        <v/>
      </c>
      <c r="H80" s="67" t="str">
        <f aca="false">IFERROR(IF(Análisis!$K$79="🔴 QUIEBRE",Análisis!M79,""),"—")</f>
        <v/>
      </c>
      <c r="I80" s="71" t="str">
        <f aca="false">IFERROR(IF(Análisis!$K$79="🔴 QUIEBRE",Análisis!H79,""),"—")</f>
        <v/>
      </c>
      <c r="J80" s="67" t="str">
        <f aca="false">IFERROR(IF(Análisis!$K$79="🔴 QUIEBRE",Análisis!O79,""),"—")</f>
        <v/>
      </c>
    </row>
    <row r="83" customFormat="false" ht="21.75" hidden="false" customHeight="true" outlineLevel="0" collapsed="false">
      <c r="A83" s="72" t="s">
        <v>284</v>
      </c>
      <c r="B83" s="72"/>
      <c r="C83" s="72"/>
      <c r="D83" s="72"/>
      <c r="E83" s="72"/>
      <c r="F83" s="72"/>
      <c r="G83" s="72"/>
      <c r="H83" s="72"/>
      <c r="I83" s="72"/>
      <c r="J83" s="72"/>
    </row>
    <row r="84" customFormat="false" ht="27.75" hidden="false" customHeight="true" outlineLevel="0" collapsed="false">
      <c r="A84" s="66" t="s">
        <v>2</v>
      </c>
      <c r="B84" s="66" t="s">
        <v>3</v>
      </c>
      <c r="C84" s="66" t="s">
        <v>4</v>
      </c>
      <c r="D84" s="66" t="s">
        <v>8</v>
      </c>
      <c r="E84" s="66" t="s">
        <v>17</v>
      </c>
      <c r="F84" s="66" t="s">
        <v>280</v>
      </c>
      <c r="G84" s="66" t="s">
        <v>9</v>
      </c>
      <c r="H84" s="66" t="s">
        <v>281</v>
      </c>
      <c r="I84" s="66" t="s">
        <v>282</v>
      </c>
      <c r="J84" s="66" t="s">
        <v>283</v>
      </c>
    </row>
    <row r="85" customFormat="false" ht="15.75" hidden="false" customHeight="true" outlineLevel="0" collapsed="false">
      <c r="A85" s="67" t="str">
        <f aca="false">IFERROR(IF(Análisis!$K$5="🔴 STOCK MUERTO",Análisis!A5,""),"—")</f>
        <v/>
      </c>
      <c r="B85" s="68" t="str">
        <f aca="false">IFERROR(IF(Análisis!$K$5="🔴 STOCK MUERTO",Análisis!B5,""),"—")</f>
        <v/>
      </c>
      <c r="C85" s="67" t="str">
        <f aca="false">IFERROR(IF(Análisis!$K$5="🔴 STOCK MUERTO",Análisis!C5,""),"—")</f>
        <v/>
      </c>
      <c r="D85" s="67" t="str">
        <f aca="false">IFERROR(IF(Análisis!$K$5="🔴 STOCK MUERTO",Análisis!D5,""),"—")</f>
        <v/>
      </c>
      <c r="E85" s="69" t="str">
        <f aca="false">IFERROR(IF(Análisis!$K$5="🔴 STOCK MUERTO",Análisis!E5,""),"—")</f>
        <v/>
      </c>
      <c r="F85" s="70" t="str">
        <f aca="false">IFERROR(IF(Análisis!$K$5="🔴 STOCK MUERTO",Análisis!F5,""),"—")</f>
        <v/>
      </c>
      <c r="G85" s="67" t="str">
        <f aca="false">IFERROR(IF(Análisis!$K$5="🔴 STOCK MUERTO",Análisis!I5,""),"—")</f>
        <v/>
      </c>
      <c r="H85" s="67" t="str">
        <f aca="false">IFERROR(IF(Análisis!$K$5="🔴 STOCK MUERTO",Análisis!M5,""),"—")</f>
        <v/>
      </c>
      <c r="I85" s="71" t="str">
        <f aca="false">IFERROR(IF(Análisis!$K$5="🔴 STOCK MUERTO",Análisis!H5,""),"—")</f>
        <v/>
      </c>
      <c r="J85" s="67" t="str">
        <f aca="false">IFERROR(IF(Análisis!$K$5="🔴 STOCK MUERTO",Análisis!O5,""),"—")</f>
        <v/>
      </c>
    </row>
    <row r="86" customFormat="false" ht="15.75" hidden="false" customHeight="true" outlineLevel="0" collapsed="false">
      <c r="A86" s="67" t="str">
        <f aca="false">IFERROR(IF(Análisis!$K$6="🔴 STOCK MUERTO",Análisis!A6,""),"—")</f>
        <v/>
      </c>
      <c r="B86" s="68" t="str">
        <f aca="false">IFERROR(IF(Análisis!$K$6="🔴 STOCK MUERTO",Análisis!B6,""),"—")</f>
        <v/>
      </c>
      <c r="C86" s="67" t="str">
        <f aca="false">IFERROR(IF(Análisis!$K$6="🔴 STOCK MUERTO",Análisis!C6,""),"—")</f>
        <v/>
      </c>
      <c r="D86" s="67" t="str">
        <f aca="false">IFERROR(IF(Análisis!$K$6="🔴 STOCK MUERTO",Análisis!D6,""),"—")</f>
        <v/>
      </c>
      <c r="E86" s="69" t="str">
        <f aca="false">IFERROR(IF(Análisis!$K$6="🔴 STOCK MUERTO",Análisis!E6,""),"—")</f>
        <v/>
      </c>
      <c r="F86" s="70" t="str">
        <f aca="false">IFERROR(IF(Análisis!$K$6="🔴 STOCK MUERTO",Análisis!F6,""),"—")</f>
        <v/>
      </c>
      <c r="G86" s="67" t="str">
        <f aca="false">IFERROR(IF(Análisis!$K$6="🔴 STOCK MUERTO",Análisis!I6,""),"—")</f>
        <v/>
      </c>
      <c r="H86" s="67" t="str">
        <f aca="false">IFERROR(IF(Análisis!$K$6="🔴 STOCK MUERTO",Análisis!M6,""),"—")</f>
        <v/>
      </c>
      <c r="I86" s="71" t="str">
        <f aca="false">IFERROR(IF(Análisis!$K$6="🔴 STOCK MUERTO",Análisis!H6,""),"—")</f>
        <v/>
      </c>
      <c r="J86" s="67" t="str">
        <f aca="false">IFERROR(IF(Análisis!$K$6="🔴 STOCK MUERTO",Análisis!O6,""),"—")</f>
        <v/>
      </c>
    </row>
    <row r="87" customFormat="false" ht="15.75" hidden="false" customHeight="true" outlineLevel="0" collapsed="false">
      <c r="A87" s="67" t="str">
        <f aca="false">IFERROR(IF(Análisis!$K$7="🔴 STOCK MUERTO",Análisis!A7,""),"—")</f>
        <v/>
      </c>
      <c r="B87" s="68" t="str">
        <f aca="false">IFERROR(IF(Análisis!$K$7="🔴 STOCK MUERTO",Análisis!B7,""),"—")</f>
        <v/>
      </c>
      <c r="C87" s="67" t="str">
        <f aca="false">IFERROR(IF(Análisis!$K$7="🔴 STOCK MUERTO",Análisis!C7,""),"—")</f>
        <v/>
      </c>
      <c r="D87" s="67" t="str">
        <f aca="false">IFERROR(IF(Análisis!$K$7="🔴 STOCK MUERTO",Análisis!D7,""),"—")</f>
        <v/>
      </c>
      <c r="E87" s="69" t="str">
        <f aca="false">IFERROR(IF(Análisis!$K$7="🔴 STOCK MUERTO",Análisis!E7,""),"—")</f>
        <v/>
      </c>
      <c r="F87" s="70" t="str">
        <f aca="false">IFERROR(IF(Análisis!$K$7="🔴 STOCK MUERTO",Análisis!F7,""),"—")</f>
        <v/>
      </c>
      <c r="G87" s="67" t="str">
        <f aca="false">IFERROR(IF(Análisis!$K$7="🔴 STOCK MUERTO",Análisis!I7,""),"—")</f>
        <v/>
      </c>
      <c r="H87" s="67" t="str">
        <f aca="false">IFERROR(IF(Análisis!$K$7="🔴 STOCK MUERTO",Análisis!M7,""),"—")</f>
        <v/>
      </c>
      <c r="I87" s="71" t="str">
        <f aca="false">IFERROR(IF(Análisis!$K$7="🔴 STOCK MUERTO",Análisis!H7,""),"—")</f>
        <v/>
      </c>
      <c r="J87" s="67" t="str">
        <f aca="false">IFERROR(IF(Análisis!$K$7="🔴 STOCK MUERTO",Análisis!O7,""),"—")</f>
        <v/>
      </c>
    </row>
    <row r="88" customFormat="false" ht="15.75" hidden="false" customHeight="true" outlineLevel="0" collapsed="false">
      <c r="A88" s="67" t="str">
        <f aca="false">IFERROR(IF(Análisis!$K$8="🔴 STOCK MUERTO",Análisis!A8,""),"—")</f>
        <v/>
      </c>
      <c r="B88" s="68" t="str">
        <f aca="false">IFERROR(IF(Análisis!$K$8="🔴 STOCK MUERTO",Análisis!B8,""),"—")</f>
        <v/>
      </c>
      <c r="C88" s="67" t="str">
        <f aca="false">IFERROR(IF(Análisis!$K$8="🔴 STOCK MUERTO",Análisis!C8,""),"—")</f>
        <v/>
      </c>
      <c r="D88" s="67" t="str">
        <f aca="false">IFERROR(IF(Análisis!$K$8="🔴 STOCK MUERTO",Análisis!D8,""),"—")</f>
        <v/>
      </c>
      <c r="E88" s="69" t="str">
        <f aca="false">IFERROR(IF(Análisis!$K$8="🔴 STOCK MUERTO",Análisis!E8,""),"—")</f>
        <v/>
      </c>
      <c r="F88" s="70" t="str">
        <f aca="false">IFERROR(IF(Análisis!$K$8="🔴 STOCK MUERTO",Análisis!F8,""),"—")</f>
        <v/>
      </c>
      <c r="G88" s="67" t="str">
        <f aca="false">IFERROR(IF(Análisis!$K$8="🔴 STOCK MUERTO",Análisis!I8,""),"—")</f>
        <v/>
      </c>
      <c r="H88" s="67" t="str">
        <f aca="false">IFERROR(IF(Análisis!$K$8="🔴 STOCK MUERTO",Análisis!M8,""),"—")</f>
        <v/>
      </c>
      <c r="I88" s="71" t="str">
        <f aca="false">IFERROR(IF(Análisis!$K$8="🔴 STOCK MUERTO",Análisis!H8,""),"—")</f>
        <v/>
      </c>
      <c r="J88" s="67" t="str">
        <f aca="false">IFERROR(IF(Análisis!$K$8="🔴 STOCK MUERTO",Análisis!O8,""),"—")</f>
        <v/>
      </c>
    </row>
    <row r="89" customFormat="false" ht="15.75" hidden="false" customHeight="true" outlineLevel="0" collapsed="false">
      <c r="A89" s="67" t="str">
        <f aca="false">IFERROR(IF(Análisis!$K$9="🔴 STOCK MUERTO",Análisis!A9,""),"—")</f>
        <v/>
      </c>
      <c r="B89" s="68" t="str">
        <f aca="false">IFERROR(IF(Análisis!$K$9="🔴 STOCK MUERTO",Análisis!B9,""),"—")</f>
        <v/>
      </c>
      <c r="C89" s="67" t="str">
        <f aca="false">IFERROR(IF(Análisis!$K$9="🔴 STOCK MUERTO",Análisis!C9,""),"—")</f>
        <v/>
      </c>
      <c r="D89" s="67" t="str">
        <f aca="false">IFERROR(IF(Análisis!$K$9="🔴 STOCK MUERTO",Análisis!D9,""),"—")</f>
        <v/>
      </c>
      <c r="E89" s="69" t="str">
        <f aca="false">IFERROR(IF(Análisis!$K$9="🔴 STOCK MUERTO",Análisis!E9,""),"—")</f>
        <v/>
      </c>
      <c r="F89" s="70" t="str">
        <f aca="false">IFERROR(IF(Análisis!$K$9="🔴 STOCK MUERTO",Análisis!F9,""),"—")</f>
        <v/>
      </c>
      <c r="G89" s="67" t="str">
        <f aca="false">IFERROR(IF(Análisis!$K$9="🔴 STOCK MUERTO",Análisis!I9,""),"—")</f>
        <v/>
      </c>
      <c r="H89" s="67" t="str">
        <f aca="false">IFERROR(IF(Análisis!$K$9="🔴 STOCK MUERTO",Análisis!M9,""),"—")</f>
        <v/>
      </c>
      <c r="I89" s="71" t="str">
        <f aca="false">IFERROR(IF(Análisis!$K$9="🔴 STOCK MUERTO",Análisis!H9,""),"—")</f>
        <v/>
      </c>
      <c r="J89" s="67" t="str">
        <f aca="false">IFERROR(IF(Análisis!$K$9="🔴 STOCK MUERTO",Análisis!O9,""),"—")</f>
        <v/>
      </c>
    </row>
    <row r="90" customFormat="false" ht="15.75" hidden="false" customHeight="true" outlineLevel="0" collapsed="false">
      <c r="A90" s="67" t="str">
        <f aca="false">IFERROR(IF(Análisis!$K$10="🔴 STOCK MUERTO",Análisis!A10,""),"—")</f>
        <v/>
      </c>
      <c r="B90" s="68" t="str">
        <f aca="false">IFERROR(IF(Análisis!$K$10="🔴 STOCK MUERTO",Análisis!B10,""),"—")</f>
        <v/>
      </c>
      <c r="C90" s="67" t="str">
        <f aca="false">IFERROR(IF(Análisis!$K$10="🔴 STOCK MUERTO",Análisis!C10,""),"—")</f>
        <v/>
      </c>
      <c r="D90" s="67" t="str">
        <f aca="false">IFERROR(IF(Análisis!$K$10="🔴 STOCK MUERTO",Análisis!D10,""),"—")</f>
        <v/>
      </c>
      <c r="E90" s="69" t="str">
        <f aca="false">IFERROR(IF(Análisis!$K$10="🔴 STOCK MUERTO",Análisis!E10,""),"—")</f>
        <v/>
      </c>
      <c r="F90" s="70" t="str">
        <f aca="false">IFERROR(IF(Análisis!$K$10="🔴 STOCK MUERTO",Análisis!F10,""),"—")</f>
        <v/>
      </c>
      <c r="G90" s="67" t="str">
        <f aca="false">IFERROR(IF(Análisis!$K$10="🔴 STOCK MUERTO",Análisis!I10,""),"—")</f>
        <v/>
      </c>
      <c r="H90" s="67" t="str">
        <f aca="false">IFERROR(IF(Análisis!$K$10="🔴 STOCK MUERTO",Análisis!M10,""),"—")</f>
        <v/>
      </c>
      <c r="I90" s="71" t="str">
        <f aca="false">IFERROR(IF(Análisis!$K$10="🔴 STOCK MUERTO",Análisis!H10,""),"—")</f>
        <v/>
      </c>
      <c r="J90" s="67" t="str">
        <f aca="false">IFERROR(IF(Análisis!$K$10="🔴 STOCK MUERTO",Análisis!O10,""),"—")</f>
        <v/>
      </c>
    </row>
    <row r="91" customFormat="false" ht="15.75" hidden="false" customHeight="true" outlineLevel="0" collapsed="false">
      <c r="A91" s="67" t="str">
        <f aca="false">IFERROR(IF(Análisis!$K$11="🔴 STOCK MUERTO",Análisis!A11,""),"—")</f>
        <v/>
      </c>
      <c r="B91" s="68" t="str">
        <f aca="false">IFERROR(IF(Análisis!$K$11="🔴 STOCK MUERTO",Análisis!B11,""),"—")</f>
        <v/>
      </c>
      <c r="C91" s="67" t="str">
        <f aca="false">IFERROR(IF(Análisis!$K$11="🔴 STOCK MUERTO",Análisis!C11,""),"—")</f>
        <v/>
      </c>
      <c r="D91" s="67" t="str">
        <f aca="false">IFERROR(IF(Análisis!$K$11="🔴 STOCK MUERTO",Análisis!D11,""),"—")</f>
        <v/>
      </c>
      <c r="E91" s="69" t="str">
        <f aca="false">IFERROR(IF(Análisis!$K$11="🔴 STOCK MUERTO",Análisis!E11,""),"—")</f>
        <v/>
      </c>
      <c r="F91" s="70" t="str">
        <f aca="false">IFERROR(IF(Análisis!$K$11="🔴 STOCK MUERTO",Análisis!F11,""),"—")</f>
        <v/>
      </c>
      <c r="G91" s="67" t="str">
        <f aca="false">IFERROR(IF(Análisis!$K$11="🔴 STOCK MUERTO",Análisis!I11,""),"—")</f>
        <v/>
      </c>
      <c r="H91" s="67" t="str">
        <f aca="false">IFERROR(IF(Análisis!$K$11="🔴 STOCK MUERTO",Análisis!M11,""),"—")</f>
        <v/>
      </c>
      <c r="I91" s="71" t="str">
        <f aca="false">IFERROR(IF(Análisis!$K$11="🔴 STOCK MUERTO",Análisis!H11,""),"—")</f>
        <v/>
      </c>
      <c r="J91" s="67" t="str">
        <f aca="false">IFERROR(IF(Análisis!$K$11="🔴 STOCK MUERTO",Análisis!O11,""),"—")</f>
        <v/>
      </c>
    </row>
    <row r="92" customFormat="false" ht="15.75" hidden="false" customHeight="true" outlineLevel="0" collapsed="false">
      <c r="A92" s="67" t="str">
        <f aca="false">IFERROR(IF(Análisis!$K$12="🔴 STOCK MUERTO",Análisis!A12,""),"—")</f>
        <v>SKU-008</v>
      </c>
      <c r="B92" s="68" t="str">
        <f aca="false">IFERROR(IF(Análisis!$K$12="🔴 STOCK MUERTO",Análisis!B12,""),"—")</f>
        <v>Azúcar Morena 1kg</v>
      </c>
      <c r="C92" s="67" t="str">
        <f aca="false">IFERROR(IF(Análisis!$K$12="🔴 STOCK MUERTO",Análisis!C12,""),"—")</f>
        <v>Alimentos Secos</v>
      </c>
      <c r="D92" s="67" t="n">
        <f aca="false">IFERROR(IF(Análisis!$K$12="🔴 STOCK MUERTO",Análisis!D12,""),"—")</f>
        <v>333</v>
      </c>
      <c r="E92" s="69" t="n">
        <f aca="false">IFERROR(IF(Análisis!$K$12="🔴 STOCK MUERTO",Análisis!E12,""),"—")</f>
        <v>49.8333333333333</v>
      </c>
      <c r="F92" s="70" t="n">
        <f aca="false">IFERROR(IF(Análisis!$K$12="🔴 STOCK MUERTO",Análisis!F12,""),"—")</f>
        <v>200.468227424749</v>
      </c>
      <c r="G92" s="67" t="n">
        <f aca="false">IFERROR(IF(Análisis!$K$12="🔴 STOCK MUERTO",Análisis!I12,""),"—")</f>
        <v>9</v>
      </c>
      <c r="H92" s="67" t="str">
        <f aca="false">IFERROR(IF(Análisis!$K$12="🔴 STOCK MUERTO",Análisis!M12,""),"—")</f>
        <v>C</v>
      </c>
      <c r="I92" s="71" t="n">
        <f aca="false">IFERROR(IF(Análisis!$K$12="🔴 STOCK MUERTO",Análisis!H12,""),"—")</f>
        <v>532.8</v>
      </c>
      <c r="J92" s="67" t="str">
        <f aca="false">IFERROR(IF(Análisis!$K$12="🔴 STOCK MUERTO",Análisis!O12,""),"—")</f>
        <v>Reducir próxima compra</v>
      </c>
    </row>
    <row r="93" customFormat="false" ht="15.75" hidden="false" customHeight="true" outlineLevel="0" collapsed="false">
      <c r="A93" s="67" t="str">
        <f aca="false">IFERROR(IF(Análisis!$K$13="🔴 STOCK MUERTO",Análisis!A13,""),"—")</f>
        <v/>
      </c>
      <c r="B93" s="68" t="str">
        <f aca="false">IFERROR(IF(Análisis!$K$13="🔴 STOCK MUERTO",Análisis!B13,""),"—")</f>
        <v/>
      </c>
      <c r="C93" s="67" t="str">
        <f aca="false">IFERROR(IF(Análisis!$K$13="🔴 STOCK MUERTO",Análisis!C13,""),"—")</f>
        <v/>
      </c>
      <c r="D93" s="67" t="str">
        <f aca="false">IFERROR(IF(Análisis!$K$13="🔴 STOCK MUERTO",Análisis!D13,""),"—")</f>
        <v/>
      </c>
      <c r="E93" s="69" t="str">
        <f aca="false">IFERROR(IF(Análisis!$K$13="🔴 STOCK MUERTO",Análisis!E13,""),"—")</f>
        <v/>
      </c>
      <c r="F93" s="70" t="str">
        <f aca="false">IFERROR(IF(Análisis!$K$13="🔴 STOCK MUERTO",Análisis!F13,""),"—")</f>
        <v/>
      </c>
      <c r="G93" s="67" t="str">
        <f aca="false">IFERROR(IF(Análisis!$K$13="🔴 STOCK MUERTO",Análisis!I13,""),"—")</f>
        <v/>
      </c>
      <c r="H93" s="67" t="str">
        <f aca="false">IFERROR(IF(Análisis!$K$13="🔴 STOCK MUERTO",Análisis!M13,""),"—")</f>
        <v/>
      </c>
      <c r="I93" s="71" t="str">
        <f aca="false">IFERROR(IF(Análisis!$K$13="🔴 STOCK MUERTO",Análisis!H13,""),"—")</f>
        <v/>
      </c>
      <c r="J93" s="67" t="str">
        <f aca="false">IFERROR(IF(Análisis!$K$13="🔴 STOCK MUERTO",Análisis!O13,""),"—")</f>
        <v/>
      </c>
    </row>
    <row r="94" customFormat="false" ht="15.75" hidden="false" customHeight="true" outlineLevel="0" collapsed="false">
      <c r="A94" s="67" t="str">
        <f aca="false">IFERROR(IF(Análisis!$K$14="🔴 STOCK MUERTO",Análisis!A14,""),"—")</f>
        <v/>
      </c>
      <c r="B94" s="68" t="str">
        <f aca="false">IFERROR(IF(Análisis!$K$14="🔴 STOCK MUERTO",Análisis!B14,""),"—")</f>
        <v/>
      </c>
      <c r="C94" s="67" t="str">
        <f aca="false">IFERROR(IF(Análisis!$K$14="🔴 STOCK MUERTO",Análisis!C14,""),"—")</f>
        <v/>
      </c>
      <c r="D94" s="67" t="str">
        <f aca="false">IFERROR(IF(Análisis!$K$14="🔴 STOCK MUERTO",Análisis!D14,""),"—")</f>
        <v/>
      </c>
      <c r="E94" s="69" t="str">
        <f aca="false">IFERROR(IF(Análisis!$K$14="🔴 STOCK MUERTO",Análisis!E14,""),"—")</f>
        <v/>
      </c>
      <c r="F94" s="70" t="str">
        <f aca="false">IFERROR(IF(Análisis!$K$14="🔴 STOCK MUERTO",Análisis!F14,""),"—")</f>
        <v/>
      </c>
      <c r="G94" s="67" t="str">
        <f aca="false">IFERROR(IF(Análisis!$K$14="🔴 STOCK MUERTO",Análisis!I14,""),"—")</f>
        <v/>
      </c>
      <c r="H94" s="67" t="str">
        <f aca="false">IFERROR(IF(Análisis!$K$14="🔴 STOCK MUERTO",Análisis!M14,""),"—")</f>
        <v/>
      </c>
      <c r="I94" s="71" t="str">
        <f aca="false">IFERROR(IF(Análisis!$K$14="🔴 STOCK MUERTO",Análisis!H14,""),"—")</f>
        <v/>
      </c>
      <c r="J94" s="67" t="str">
        <f aca="false">IFERROR(IF(Análisis!$K$14="🔴 STOCK MUERTO",Análisis!O14,""),"—")</f>
        <v/>
      </c>
    </row>
    <row r="95" customFormat="false" ht="15.75" hidden="false" customHeight="true" outlineLevel="0" collapsed="false">
      <c r="A95" s="67" t="str">
        <f aca="false">IFERROR(IF(Análisis!$K$15="🔴 STOCK MUERTO",Análisis!A15,""),"—")</f>
        <v>SKU-011</v>
      </c>
      <c r="B95" s="68" t="str">
        <f aca="false">IFERROR(IF(Análisis!$K$15="🔴 STOCK MUERTO",Análisis!B15,""),"—")</f>
        <v>Aceite de Maíz 900cc</v>
      </c>
      <c r="C95" s="67" t="str">
        <f aca="false">IFERROR(IF(Análisis!$K$15="🔴 STOCK MUERTO",Análisis!C15,""),"—")</f>
        <v>Alimentos Secos</v>
      </c>
      <c r="D95" s="67" t="n">
        <f aca="false">IFERROR(IF(Análisis!$K$15="🔴 STOCK MUERTO",Análisis!D15,""),"—")</f>
        <v>109</v>
      </c>
      <c r="E95" s="69" t="n">
        <f aca="false">IFERROR(IF(Análisis!$K$15="🔴 STOCK MUERTO",Análisis!E15,""),"—")</f>
        <v>1.66666666666667</v>
      </c>
      <c r="F95" s="70" t="n">
        <f aca="false">IFERROR(IF(Análisis!$K$15="🔴 STOCK MUERTO",Análisis!F15,""),"—")</f>
        <v>1962</v>
      </c>
      <c r="G95" s="67" t="n">
        <f aca="false">IFERROR(IF(Análisis!$K$15="🔴 STOCK MUERTO",Análisis!I15,""),"—")</f>
        <v>5</v>
      </c>
      <c r="H95" s="67" t="str">
        <f aca="false">IFERROR(IF(Análisis!$K$15="🔴 STOCK MUERTO",Análisis!M15,""),"—")</f>
        <v>C</v>
      </c>
      <c r="I95" s="71" t="n">
        <f aca="false">IFERROR(IF(Análisis!$K$15="🔴 STOCK MUERTO",Análisis!H15,""),"—")</f>
        <v>348.8</v>
      </c>
      <c r="J95" s="67" t="str">
        <f aca="false">IFERROR(IF(Análisis!$K$15="🔴 STOCK MUERTO",Análisis!O15,""),"—")</f>
        <v>LIQUIDAR / DEVOLVER</v>
      </c>
    </row>
    <row r="96" customFormat="false" ht="15.75" hidden="false" customHeight="true" outlineLevel="0" collapsed="false">
      <c r="A96" s="67" t="str">
        <f aca="false">IFERROR(IF(Análisis!$K$16="🔴 STOCK MUERTO",Análisis!A16,""),"—")</f>
        <v/>
      </c>
      <c r="B96" s="68" t="str">
        <f aca="false">IFERROR(IF(Análisis!$K$16="🔴 STOCK MUERTO",Análisis!B16,""),"—")</f>
        <v/>
      </c>
      <c r="C96" s="67" t="str">
        <f aca="false">IFERROR(IF(Análisis!$K$16="🔴 STOCK MUERTO",Análisis!C16,""),"—")</f>
        <v/>
      </c>
      <c r="D96" s="67" t="str">
        <f aca="false">IFERROR(IF(Análisis!$K$16="🔴 STOCK MUERTO",Análisis!D16,""),"—")</f>
        <v/>
      </c>
      <c r="E96" s="69" t="str">
        <f aca="false">IFERROR(IF(Análisis!$K$16="🔴 STOCK MUERTO",Análisis!E16,""),"—")</f>
        <v/>
      </c>
      <c r="F96" s="70" t="str">
        <f aca="false">IFERROR(IF(Análisis!$K$16="🔴 STOCK MUERTO",Análisis!F16,""),"—")</f>
        <v/>
      </c>
      <c r="G96" s="67" t="str">
        <f aca="false">IFERROR(IF(Análisis!$K$16="🔴 STOCK MUERTO",Análisis!I16,""),"—")</f>
        <v/>
      </c>
      <c r="H96" s="67" t="str">
        <f aca="false">IFERROR(IF(Análisis!$K$16="🔴 STOCK MUERTO",Análisis!M16,""),"—")</f>
        <v/>
      </c>
      <c r="I96" s="71" t="str">
        <f aca="false">IFERROR(IF(Análisis!$K$16="🔴 STOCK MUERTO",Análisis!H16,""),"—")</f>
        <v/>
      </c>
      <c r="J96" s="67" t="str">
        <f aca="false">IFERROR(IF(Análisis!$K$16="🔴 STOCK MUERTO",Análisis!O16,""),"—")</f>
        <v/>
      </c>
    </row>
    <row r="97" customFormat="false" ht="15.75" hidden="false" customHeight="true" outlineLevel="0" collapsed="false">
      <c r="A97" s="67" t="str">
        <f aca="false">IFERROR(IF(Análisis!$K$17="🔴 STOCK MUERTO",Análisis!A17,""),"—")</f>
        <v/>
      </c>
      <c r="B97" s="68" t="str">
        <f aca="false">IFERROR(IF(Análisis!$K$17="🔴 STOCK MUERTO",Análisis!B17,""),"—")</f>
        <v/>
      </c>
      <c r="C97" s="67" t="str">
        <f aca="false">IFERROR(IF(Análisis!$K$17="🔴 STOCK MUERTO",Análisis!C17,""),"—")</f>
        <v/>
      </c>
      <c r="D97" s="67" t="str">
        <f aca="false">IFERROR(IF(Análisis!$K$17="🔴 STOCK MUERTO",Análisis!D17,""),"—")</f>
        <v/>
      </c>
      <c r="E97" s="69" t="str">
        <f aca="false">IFERROR(IF(Análisis!$K$17="🔴 STOCK MUERTO",Análisis!E17,""),"—")</f>
        <v/>
      </c>
      <c r="F97" s="70" t="str">
        <f aca="false">IFERROR(IF(Análisis!$K$17="🔴 STOCK MUERTO",Análisis!F17,""),"—")</f>
        <v/>
      </c>
      <c r="G97" s="67" t="str">
        <f aca="false">IFERROR(IF(Análisis!$K$17="🔴 STOCK MUERTO",Análisis!I17,""),"—")</f>
        <v/>
      </c>
      <c r="H97" s="67" t="str">
        <f aca="false">IFERROR(IF(Análisis!$K$17="🔴 STOCK MUERTO",Análisis!M17,""),"—")</f>
        <v/>
      </c>
      <c r="I97" s="71" t="str">
        <f aca="false">IFERROR(IF(Análisis!$K$17="🔴 STOCK MUERTO",Análisis!H17,""),"—")</f>
        <v/>
      </c>
      <c r="J97" s="67" t="str">
        <f aca="false">IFERROR(IF(Análisis!$K$17="🔴 STOCK MUERTO",Análisis!O17,""),"—")</f>
        <v/>
      </c>
    </row>
    <row r="98" customFormat="false" ht="15.75" hidden="false" customHeight="true" outlineLevel="0" collapsed="false">
      <c r="A98" s="67" t="str">
        <f aca="false">IFERROR(IF(Análisis!$K$18="🔴 STOCK MUERTO",Análisis!A18,""),"—")</f>
        <v/>
      </c>
      <c r="B98" s="68" t="str">
        <f aca="false">IFERROR(IF(Análisis!$K$18="🔴 STOCK MUERTO",Análisis!B18,""),"—")</f>
        <v/>
      </c>
      <c r="C98" s="67" t="str">
        <f aca="false">IFERROR(IF(Análisis!$K$18="🔴 STOCK MUERTO",Análisis!C18,""),"—")</f>
        <v/>
      </c>
      <c r="D98" s="67" t="str">
        <f aca="false">IFERROR(IF(Análisis!$K$18="🔴 STOCK MUERTO",Análisis!D18,""),"—")</f>
        <v/>
      </c>
      <c r="E98" s="69" t="str">
        <f aca="false">IFERROR(IF(Análisis!$K$18="🔴 STOCK MUERTO",Análisis!E18,""),"—")</f>
        <v/>
      </c>
      <c r="F98" s="70" t="str">
        <f aca="false">IFERROR(IF(Análisis!$K$18="🔴 STOCK MUERTO",Análisis!F18,""),"—")</f>
        <v/>
      </c>
      <c r="G98" s="67" t="str">
        <f aca="false">IFERROR(IF(Análisis!$K$18="🔴 STOCK MUERTO",Análisis!I18,""),"—")</f>
        <v/>
      </c>
      <c r="H98" s="67" t="str">
        <f aca="false">IFERROR(IF(Análisis!$K$18="🔴 STOCK MUERTO",Análisis!M18,""),"—")</f>
        <v/>
      </c>
      <c r="I98" s="71" t="str">
        <f aca="false">IFERROR(IF(Análisis!$K$18="🔴 STOCK MUERTO",Análisis!H18,""),"—")</f>
        <v/>
      </c>
      <c r="J98" s="67" t="str">
        <f aca="false">IFERROR(IF(Análisis!$K$18="🔴 STOCK MUERTO",Análisis!O18,""),"—")</f>
        <v/>
      </c>
    </row>
    <row r="99" customFormat="false" ht="15.75" hidden="false" customHeight="true" outlineLevel="0" collapsed="false">
      <c r="A99" s="67" t="str">
        <f aca="false">IFERROR(IF(Análisis!$K$19="🔴 STOCK MUERTO",Análisis!A19,""),"—")</f>
        <v>SKU-015</v>
      </c>
      <c r="B99" s="68" t="str">
        <f aca="false">IFERROR(IF(Análisis!$K$19="🔴 STOCK MUERTO",Análisis!B19,""),"—")</f>
        <v>Yerba Mate 1kg</v>
      </c>
      <c r="C99" s="67" t="str">
        <f aca="false">IFERROR(IF(Análisis!$K$19="🔴 STOCK MUERTO",Análisis!C19,""),"—")</f>
        <v>Alimentos Secos</v>
      </c>
      <c r="D99" s="67" t="n">
        <f aca="false">IFERROR(IF(Análisis!$K$19="🔴 STOCK MUERTO",Análisis!D19,""),"—")</f>
        <v>540</v>
      </c>
      <c r="E99" s="69" t="n">
        <f aca="false">IFERROR(IF(Análisis!$K$19="🔴 STOCK MUERTO",Análisis!E19,""),"—")</f>
        <v>79.1666666666667</v>
      </c>
      <c r="F99" s="70" t="n">
        <f aca="false">IFERROR(IF(Análisis!$K$19="🔴 STOCK MUERTO",Análisis!F19,""),"—")</f>
        <v>204.631578947368</v>
      </c>
      <c r="G99" s="67" t="n">
        <f aca="false">IFERROR(IF(Análisis!$K$19="🔴 STOCK MUERTO",Análisis!I19,""),"—")</f>
        <v>20</v>
      </c>
      <c r="H99" s="67" t="str">
        <f aca="false">IFERROR(IF(Análisis!$K$19="🔴 STOCK MUERTO",Análisis!M19,""),"—")</f>
        <v>C</v>
      </c>
      <c r="I99" s="71" t="n">
        <f aca="false">IFERROR(IF(Análisis!$K$19="🔴 STOCK MUERTO",Análisis!H19,""),"—")</f>
        <v>3888</v>
      </c>
      <c r="J99" s="67" t="str">
        <f aca="false">IFERROR(IF(Análisis!$K$19="🔴 STOCK MUERTO",Análisis!O19,""),"—")</f>
        <v>Reducir próxima compra</v>
      </c>
    </row>
    <row r="100" customFormat="false" ht="15.75" hidden="false" customHeight="true" outlineLevel="0" collapsed="false">
      <c r="A100" s="67" t="str">
        <f aca="false">IFERROR(IF(Análisis!$K$20="🔴 STOCK MUERTO",Análisis!A20,""),"—")</f>
        <v/>
      </c>
      <c r="B100" s="68" t="str">
        <f aca="false">IFERROR(IF(Análisis!$K$20="🔴 STOCK MUERTO",Análisis!B20,""),"—")</f>
        <v/>
      </c>
      <c r="C100" s="67" t="str">
        <f aca="false">IFERROR(IF(Análisis!$K$20="🔴 STOCK MUERTO",Análisis!C20,""),"—")</f>
        <v/>
      </c>
      <c r="D100" s="67" t="str">
        <f aca="false">IFERROR(IF(Análisis!$K$20="🔴 STOCK MUERTO",Análisis!D20,""),"—")</f>
        <v/>
      </c>
      <c r="E100" s="69" t="str">
        <f aca="false">IFERROR(IF(Análisis!$K$20="🔴 STOCK MUERTO",Análisis!E20,""),"—")</f>
        <v/>
      </c>
      <c r="F100" s="70" t="str">
        <f aca="false">IFERROR(IF(Análisis!$K$20="🔴 STOCK MUERTO",Análisis!F20,""),"—")</f>
        <v/>
      </c>
      <c r="G100" s="67" t="str">
        <f aca="false">IFERROR(IF(Análisis!$K$20="🔴 STOCK MUERTO",Análisis!I20,""),"—")</f>
        <v/>
      </c>
      <c r="H100" s="67" t="str">
        <f aca="false">IFERROR(IF(Análisis!$K$20="🔴 STOCK MUERTO",Análisis!M20,""),"—")</f>
        <v/>
      </c>
      <c r="I100" s="71" t="str">
        <f aca="false">IFERROR(IF(Análisis!$K$20="🔴 STOCK MUERTO",Análisis!H20,""),"—")</f>
        <v/>
      </c>
      <c r="J100" s="67" t="str">
        <f aca="false">IFERROR(IF(Análisis!$K$20="🔴 STOCK MUERTO",Análisis!O20,""),"—")</f>
        <v/>
      </c>
    </row>
    <row r="101" customFormat="false" ht="15.75" hidden="false" customHeight="true" outlineLevel="0" collapsed="false">
      <c r="A101" s="67" t="str">
        <f aca="false">IFERROR(IF(Análisis!$K$21="🔴 STOCK MUERTO",Análisis!A21,""),"—")</f>
        <v/>
      </c>
      <c r="B101" s="68" t="str">
        <f aca="false">IFERROR(IF(Análisis!$K$21="🔴 STOCK MUERTO",Análisis!B21,""),"—")</f>
        <v/>
      </c>
      <c r="C101" s="67" t="str">
        <f aca="false">IFERROR(IF(Análisis!$K$21="🔴 STOCK MUERTO",Análisis!C21,""),"—")</f>
        <v/>
      </c>
      <c r="D101" s="67" t="str">
        <f aca="false">IFERROR(IF(Análisis!$K$21="🔴 STOCK MUERTO",Análisis!D21,""),"—")</f>
        <v/>
      </c>
      <c r="E101" s="69" t="str">
        <f aca="false">IFERROR(IF(Análisis!$K$21="🔴 STOCK MUERTO",Análisis!E21,""),"—")</f>
        <v/>
      </c>
      <c r="F101" s="70" t="str">
        <f aca="false">IFERROR(IF(Análisis!$K$21="🔴 STOCK MUERTO",Análisis!F21,""),"—")</f>
        <v/>
      </c>
      <c r="G101" s="67" t="str">
        <f aca="false">IFERROR(IF(Análisis!$K$21="🔴 STOCK MUERTO",Análisis!I21,""),"—")</f>
        <v/>
      </c>
      <c r="H101" s="67" t="str">
        <f aca="false">IFERROR(IF(Análisis!$K$21="🔴 STOCK MUERTO",Análisis!M21,""),"—")</f>
        <v/>
      </c>
      <c r="I101" s="71" t="str">
        <f aca="false">IFERROR(IF(Análisis!$K$21="🔴 STOCK MUERTO",Análisis!H21,""),"—")</f>
        <v/>
      </c>
      <c r="J101" s="67" t="str">
        <f aca="false">IFERROR(IF(Análisis!$K$21="🔴 STOCK MUERTO",Análisis!O21,""),"—")</f>
        <v/>
      </c>
    </row>
    <row r="102" customFormat="false" ht="15.75" hidden="false" customHeight="true" outlineLevel="0" collapsed="false">
      <c r="A102" s="67" t="str">
        <f aca="false">IFERROR(IF(Análisis!$K$22="🔴 STOCK MUERTO",Análisis!A22,""),"—")</f>
        <v/>
      </c>
      <c r="B102" s="68" t="str">
        <f aca="false">IFERROR(IF(Análisis!$K$22="🔴 STOCK MUERTO",Análisis!B22,""),"—")</f>
        <v/>
      </c>
      <c r="C102" s="67" t="str">
        <f aca="false">IFERROR(IF(Análisis!$K$22="🔴 STOCK MUERTO",Análisis!C22,""),"—")</f>
        <v/>
      </c>
      <c r="D102" s="67" t="str">
        <f aca="false">IFERROR(IF(Análisis!$K$22="🔴 STOCK MUERTO",Análisis!D22,""),"—")</f>
        <v/>
      </c>
      <c r="E102" s="69" t="str">
        <f aca="false">IFERROR(IF(Análisis!$K$22="🔴 STOCK MUERTO",Análisis!E22,""),"—")</f>
        <v/>
      </c>
      <c r="F102" s="70" t="str">
        <f aca="false">IFERROR(IF(Análisis!$K$22="🔴 STOCK MUERTO",Análisis!F22,""),"—")</f>
        <v/>
      </c>
      <c r="G102" s="67" t="str">
        <f aca="false">IFERROR(IF(Análisis!$K$22="🔴 STOCK MUERTO",Análisis!I22,""),"—")</f>
        <v/>
      </c>
      <c r="H102" s="67" t="str">
        <f aca="false">IFERROR(IF(Análisis!$K$22="🔴 STOCK MUERTO",Análisis!M22,""),"—")</f>
        <v/>
      </c>
      <c r="I102" s="71" t="str">
        <f aca="false">IFERROR(IF(Análisis!$K$22="🔴 STOCK MUERTO",Análisis!H22,""),"—")</f>
        <v/>
      </c>
      <c r="J102" s="67" t="str">
        <f aca="false">IFERROR(IF(Análisis!$K$22="🔴 STOCK MUERTO",Análisis!O22,""),"—")</f>
        <v/>
      </c>
    </row>
    <row r="103" customFormat="false" ht="15.75" hidden="false" customHeight="true" outlineLevel="0" collapsed="false">
      <c r="A103" s="67" t="str">
        <f aca="false">IFERROR(IF(Análisis!$K$23="🔴 STOCK MUERTO",Análisis!A23,""),"—")</f>
        <v/>
      </c>
      <c r="B103" s="68" t="str">
        <f aca="false">IFERROR(IF(Análisis!$K$23="🔴 STOCK MUERTO",Análisis!B23,""),"—")</f>
        <v/>
      </c>
      <c r="C103" s="67" t="str">
        <f aca="false">IFERROR(IF(Análisis!$K$23="🔴 STOCK MUERTO",Análisis!C23,""),"—")</f>
        <v/>
      </c>
      <c r="D103" s="67" t="str">
        <f aca="false">IFERROR(IF(Análisis!$K$23="🔴 STOCK MUERTO",Análisis!D23,""),"—")</f>
        <v/>
      </c>
      <c r="E103" s="69" t="str">
        <f aca="false">IFERROR(IF(Análisis!$K$23="🔴 STOCK MUERTO",Análisis!E23,""),"—")</f>
        <v/>
      </c>
      <c r="F103" s="70" t="str">
        <f aca="false">IFERROR(IF(Análisis!$K$23="🔴 STOCK MUERTO",Análisis!F23,""),"—")</f>
        <v/>
      </c>
      <c r="G103" s="67" t="str">
        <f aca="false">IFERROR(IF(Análisis!$K$23="🔴 STOCK MUERTO",Análisis!I23,""),"—")</f>
        <v/>
      </c>
      <c r="H103" s="67" t="str">
        <f aca="false">IFERROR(IF(Análisis!$K$23="🔴 STOCK MUERTO",Análisis!M23,""),"—")</f>
        <v/>
      </c>
      <c r="I103" s="71" t="str">
        <f aca="false">IFERROR(IF(Análisis!$K$23="🔴 STOCK MUERTO",Análisis!H23,""),"—")</f>
        <v/>
      </c>
      <c r="J103" s="67" t="str">
        <f aca="false">IFERROR(IF(Análisis!$K$23="🔴 STOCK MUERTO",Análisis!O23,""),"—")</f>
        <v/>
      </c>
    </row>
    <row r="104" customFormat="false" ht="15.75" hidden="false" customHeight="true" outlineLevel="0" collapsed="false">
      <c r="A104" s="67" t="str">
        <f aca="false">IFERROR(IF(Análisis!$K$24="🔴 STOCK MUERTO",Análisis!A24,""),"—")</f>
        <v>SKU-020</v>
      </c>
      <c r="B104" s="68" t="str">
        <f aca="false">IFERROR(IF(Análisis!$K$24="🔴 STOCK MUERTO",Análisis!B24,""),"—")</f>
        <v>Puré de Tomate 520g</v>
      </c>
      <c r="C104" s="67" t="str">
        <f aca="false">IFERROR(IF(Análisis!$K$24="🔴 STOCK MUERTO",Análisis!C24,""),"—")</f>
        <v>Alimentos Secos</v>
      </c>
      <c r="D104" s="67" t="n">
        <f aca="false">IFERROR(IF(Análisis!$K$24="🔴 STOCK MUERTO",Análisis!D24,""),"—")</f>
        <v>193</v>
      </c>
      <c r="E104" s="69" t="n">
        <f aca="false">IFERROR(IF(Análisis!$K$24="🔴 STOCK MUERTO",Análisis!E24,""),"—")</f>
        <v>0.333333333333333</v>
      </c>
      <c r="F104" s="70" t="n">
        <f aca="false">IFERROR(IF(Análisis!$K$24="🔴 STOCK MUERTO",Análisis!F24,""),"—")</f>
        <v>17370</v>
      </c>
      <c r="G104" s="67" t="n">
        <f aca="false">IFERROR(IF(Análisis!$K$24="🔴 STOCK MUERTO",Análisis!I24,""),"—")</f>
        <v>5</v>
      </c>
      <c r="H104" s="67" t="str">
        <f aca="false">IFERROR(IF(Análisis!$K$24="🔴 STOCK MUERTO",Análisis!M24,""),"—")</f>
        <v>C</v>
      </c>
      <c r="I104" s="71" t="n">
        <f aca="false">IFERROR(IF(Análisis!$K$24="🔴 STOCK MUERTO",Análisis!H24,""),"—")</f>
        <v>250.9</v>
      </c>
      <c r="J104" s="67" t="str">
        <f aca="false">IFERROR(IF(Análisis!$K$24="🔴 STOCK MUERTO",Análisis!O24,""),"—")</f>
        <v>LIQUIDAR / DEVOLVER</v>
      </c>
    </row>
    <row r="105" customFormat="false" ht="15.75" hidden="false" customHeight="true" outlineLevel="0" collapsed="false">
      <c r="A105" s="67" t="str">
        <f aca="false">IFERROR(IF(Análisis!$K$25="🔴 STOCK MUERTO",Análisis!A25,""),"—")</f>
        <v/>
      </c>
      <c r="B105" s="68" t="str">
        <f aca="false">IFERROR(IF(Análisis!$K$25="🔴 STOCK MUERTO",Análisis!B25,""),"—")</f>
        <v/>
      </c>
      <c r="C105" s="67" t="str">
        <f aca="false">IFERROR(IF(Análisis!$K$25="🔴 STOCK MUERTO",Análisis!C25,""),"—")</f>
        <v/>
      </c>
      <c r="D105" s="67" t="str">
        <f aca="false">IFERROR(IF(Análisis!$K$25="🔴 STOCK MUERTO",Análisis!D25,""),"—")</f>
        <v/>
      </c>
      <c r="E105" s="69" t="str">
        <f aca="false">IFERROR(IF(Análisis!$K$25="🔴 STOCK MUERTO",Análisis!E25,""),"—")</f>
        <v/>
      </c>
      <c r="F105" s="70" t="str">
        <f aca="false">IFERROR(IF(Análisis!$K$25="🔴 STOCK MUERTO",Análisis!F25,""),"—")</f>
        <v/>
      </c>
      <c r="G105" s="67" t="str">
        <f aca="false">IFERROR(IF(Análisis!$K$25="🔴 STOCK MUERTO",Análisis!I25,""),"—")</f>
        <v/>
      </c>
      <c r="H105" s="67" t="str">
        <f aca="false">IFERROR(IF(Análisis!$K$25="🔴 STOCK MUERTO",Análisis!M25,""),"—")</f>
        <v/>
      </c>
      <c r="I105" s="71" t="str">
        <f aca="false">IFERROR(IF(Análisis!$K$25="🔴 STOCK MUERTO",Análisis!H25,""),"—")</f>
        <v/>
      </c>
      <c r="J105" s="67" t="str">
        <f aca="false">IFERROR(IF(Análisis!$K$25="🔴 STOCK MUERTO",Análisis!O25,""),"—")</f>
        <v/>
      </c>
    </row>
    <row r="106" customFormat="false" ht="15.75" hidden="false" customHeight="true" outlineLevel="0" collapsed="false">
      <c r="A106" s="67" t="str">
        <f aca="false">IFERROR(IF(Análisis!$K$26="🔴 STOCK MUERTO",Análisis!A26,""),"—")</f>
        <v/>
      </c>
      <c r="B106" s="68" t="str">
        <f aca="false">IFERROR(IF(Análisis!$K$26="🔴 STOCK MUERTO",Análisis!B26,""),"—")</f>
        <v/>
      </c>
      <c r="C106" s="67" t="str">
        <f aca="false">IFERROR(IF(Análisis!$K$26="🔴 STOCK MUERTO",Análisis!C26,""),"—")</f>
        <v/>
      </c>
      <c r="D106" s="67" t="str">
        <f aca="false">IFERROR(IF(Análisis!$K$26="🔴 STOCK MUERTO",Análisis!D26,""),"—")</f>
        <v/>
      </c>
      <c r="E106" s="69" t="str">
        <f aca="false">IFERROR(IF(Análisis!$K$26="🔴 STOCK MUERTO",Análisis!E26,""),"—")</f>
        <v/>
      </c>
      <c r="F106" s="70" t="str">
        <f aca="false">IFERROR(IF(Análisis!$K$26="🔴 STOCK MUERTO",Análisis!F26,""),"—")</f>
        <v/>
      </c>
      <c r="G106" s="67" t="str">
        <f aca="false">IFERROR(IF(Análisis!$K$26="🔴 STOCK MUERTO",Análisis!I26,""),"—")</f>
        <v/>
      </c>
      <c r="H106" s="67" t="str">
        <f aca="false">IFERROR(IF(Análisis!$K$26="🔴 STOCK MUERTO",Análisis!M26,""),"—")</f>
        <v/>
      </c>
      <c r="I106" s="71" t="str">
        <f aca="false">IFERROR(IF(Análisis!$K$26="🔴 STOCK MUERTO",Análisis!H26,""),"—")</f>
        <v/>
      </c>
      <c r="J106" s="67" t="str">
        <f aca="false">IFERROR(IF(Análisis!$K$26="🔴 STOCK MUERTO",Análisis!O26,""),"—")</f>
        <v/>
      </c>
    </row>
    <row r="107" customFormat="false" ht="15.75" hidden="false" customHeight="true" outlineLevel="0" collapsed="false">
      <c r="A107" s="67" t="str">
        <f aca="false">IFERROR(IF(Análisis!$K$27="🔴 STOCK MUERTO",Análisis!A27,""),"—")</f>
        <v/>
      </c>
      <c r="B107" s="68" t="str">
        <f aca="false">IFERROR(IF(Análisis!$K$27="🔴 STOCK MUERTO",Análisis!B27,""),"—")</f>
        <v/>
      </c>
      <c r="C107" s="67" t="str">
        <f aca="false">IFERROR(IF(Análisis!$K$27="🔴 STOCK MUERTO",Análisis!C27,""),"—")</f>
        <v/>
      </c>
      <c r="D107" s="67" t="str">
        <f aca="false">IFERROR(IF(Análisis!$K$27="🔴 STOCK MUERTO",Análisis!D27,""),"—")</f>
        <v/>
      </c>
      <c r="E107" s="69" t="str">
        <f aca="false">IFERROR(IF(Análisis!$K$27="🔴 STOCK MUERTO",Análisis!E27,""),"—")</f>
        <v/>
      </c>
      <c r="F107" s="70" t="str">
        <f aca="false">IFERROR(IF(Análisis!$K$27="🔴 STOCK MUERTO",Análisis!F27,""),"—")</f>
        <v/>
      </c>
      <c r="G107" s="67" t="str">
        <f aca="false">IFERROR(IF(Análisis!$K$27="🔴 STOCK MUERTO",Análisis!I27,""),"—")</f>
        <v/>
      </c>
      <c r="H107" s="67" t="str">
        <f aca="false">IFERROR(IF(Análisis!$K$27="🔴 STOCK MUERTO",Análisis!M27,""),"—")</f>
        <v/>
      </c>
      <c r="I107" s="71" t="str">
        <f aca="false">IFERROR(IF(Análisis!$K$27="🔴 STOCK MUERTO",Análisis!H27,""),"—")</f>
        <v/>
      </c>
      <c r="J107" s="67" t="str">
        <f aca="false">IFERROR(IF(Análisis!$K$27="🔴 STOCK MUERTO",Análisis!O27,""),"—")</f>
        <v/>
      </c>
    </row>
    <row r="108" customFormat="false" ht="15.75" hidden="false" customHeight="true" outlineLevel="0" collapsed="false">
      <c r="A108" s="67" t="str">
        <f aca="false">IFERROR(IF(Análisis!$K$28="🔴 STOCK MUERTO",Análisis!A28,""),"—")</f>
        <v/>
      </c>
      <c r="B108" s="68" t="str">
        <f aca="false">IFERROR(IF(Análisis!$K$28="🔴 STOCK MUERTO",Análisis!B28,""),"—")</f>
        <v/>
      </c>
      <c r="C108" s="67" t="str">
        <f aca="false">IFERROR(IF(Análisis!$K$28="🔴 STOCK MUERTO",Análisis!C28,""),"—")</f>
        <v/>
      </c>
      <c r="D108" s="67" t="str">
        <f aca="false">IFERROR(IF(Análisis!$K$28="🔴 STOCK MUERTO",Análisis!D28,""),"—")</f>
        <v/>
      </c>
      <c r="E108" s="69" t="str">
        <f aca="false">IFERROR(IF(Análisis!$K$28="🔴 STOCK MUERTO",Análisis!E28,""),"—")</f>
        <v/>
      </c>
      <c r="F108" s="70" t="str">
        <f aca="false">IFERROR(IF(Análisis!$K$28="🔴 STOCK MUERTO",Análisis!F28,""),"—")</f>
        <v/>
      </c>
      <c r="G108" s="67" t="str">
        <f aca="false">IFERROR(IF(Análisis!$K$28="🔴 STOCK MUERTO",Análisis!I28,""),"—")</f>
        <v/>
      </c>
      <c r="H108" s="67" t="str">
        <f aca="false">IFERROR(IF(Análisis!$K$28="🔴 STOCK MUERTO",Análisis!M28,""),"—")</f>
        <v/>
      </c>
      <c r="I108" s="71" t="str">
        <f aca="false">IFERROR(IF(Análisis!$K$28="🔴 STOCK MUERTO",Análisis!H28,""),"—")</f>
        <v/>
      </c>
      <c r="J108" s="67" t="str">
        <f aca="false">IFERROR(IF(Análisis!$K$28="🔴 STOCK MUERTO",Análisis!O28,""),"—")</f>
        <v/>
      </c>
    </row>
    <row r="109" customFormat="false" ht="15.75" hidden="false" customHeight="true" outlineLevel="0" collapsed="false">
      <c r="A109" s="67" t="str">
        <f aca="false">IFERROR(IF(Análisis!$K$29="🔴 STOCK MUERTO",Análisis!A29,""),"—")</f>
        <v/>
      </c>
      <c r="B109" s="68" t="str">
        <f aca="false">IFERROR(IF(Análisis!$K$29="🔴 STOCK MUERTO",Análisis!B29,""),"—")</f>
        <v/>
      </c>
      <c r="C109" s="67" t="str">
        <f aca="false">IFERROR(IF(Análisis!$K$29="🔴 STOCK MUERTO",Análisis!C29,""),"—")</f>
        <v/>
      </c>
      <c r="D109" s="67" t="str">
        <f aca="false">IFERROR(IF(Análisis!$K$29="🔴 STOCK MUERTO",Análisis!D29,""),"—")</f>
        <v/>
      </c>
      <c r="E109" s="69" t="str">
        <f aca="false">IFERROR(IF(Análisis!$K$29="🔴 STOCK MUERTO",Análisis!E29,""),"—")</f>
        <v/>
      </c>
      <c r="F109" s="70" t="str">
        <f aca="false">IFERROR(IF(Análisis!$K$29="🔴 STOCK MUERTO",Análisis!F29,""),"—")</f>
        <v/>
      </c>
      <c r="G109" s="67" t="str">
        <f aca="false">IFERROR(IF(Análisis!$K$29="🔴 STOCK MUERTO",Análisis!I29,""),"—")</f>
        <v/>
      </c>
      <c r="H109" s="67" t="str">
        <f aca="false">IFERROR(IF(Análisis!$K$29="🔴 STOCK MUERTO",Análisis!M29,""),"—")</f>
        <v/>
      </c>
      <c r="I109" s="71" t="str">
        <f aca="false">IFERROR(IF(Análisis!$K$29="🔴 STOCK MUERTO",Análisis!H29,""),"—")</f>
        <v/>
      </c>
      <c r="J109" s="67" t="str">
        <f aca="false">IFERROR(IF(Análisis!$K$29="🔴 STOCK MUERTO",Análisis!O29,""),"—")</f>
        <v/>
      </c>
    </row>
    <row r="110" customFormat="false" ht="15.75" hidden="false" customHeight="true" outlineLevel="0" collapsed="false">
      <c r="A110" s="67" t="str">
        <f aca="false">IFERROR(IF(Análisis!$K$30="🔴 STOCK MUERTO",Análisis!A30,""),"—")</f>
        <v/>
      </c>
      <c r="B110" s="68" t="str">
        <f aca="false">IFERROR(IF(Análisis!$K$30="🔴 STOCK MUERTO",Análisis!B30,""),"—")</f>
        <v/>
      </c>
      <c r="C110" s="67" t="str">
        <f aca="false">IFERROR(IF(Análisis!$K$30="🔴 STOCK MUERTO",Análisis!C30,""),"—")</f>
        <v/>
      </c>
      <c r="D110" s="67" t="str">
        <f aca="false">IFERROR(IF(Análisis!$K$30="🔴 STOCK MUERTO",Análisis!D30,""),"—")</f>
        <v/>
      </c>
      <c r="E110" s="69" t="str">
        <f aca="false">IFERROR(IF(Análisis!$K$30="🔴 STOCK MUERTO",Análisis!E30,""),"—")</f>
        <v/>
      </c>
      <c r="F110" s="70" t="str">
        <f aca="false">IFERROR(IF(Análisis!$K$30="🔴 STOCK MUERTO",Análisis!F30,""),"—")</f>
        <v/>
      </c>
      <c r="G110" s="67" t="str">
        <f aca="false">IFERROR(IF(Análisis!$K$30="🔴 STOCK MUERTO",Análisis!I30,""),"—")</f>
        <v/>
      </c>
      <c r="H110" s="67" t="str">
        <f aca="false">IFERROR(IF(Análisis!$K$30="🔴 STOCK MUERTO",Análisis!M30,""),"—")</f>
        <v/>
      </c>
      <c r="I110" s="71" t="str">
        <f aca="false">IFERROR(IF(Análisis!$K$30="🔴 STOCK MUERTO",Análisis!H30,""),"—")</f>
        <v/>
      </c>
      <c r="J110" s="67" t="str">
        <f aca="false">IFERROR(IF(Análisis!$K$30="🔴 STOCK MUERTO",Análisis!O30,""),"—")</f>
        <v/>
      </c>
    </row>
    <row r="111" customFormat="false" ht="15.75" hidden="false" customHeight="true" outlineLevel="0" collapsed="false">
      <c r="A111" s="67" t="str">
        <f aca="false">IFERROR(IF(Análisis!$K$31="🔴 STOCK MUERTO",Análisis!A31,""),"—")</f>
        <v/>
      </c>
      <c r="B111" s="68" t="str">
        <f aca="false">IFERROR(IF(Análisis!$K$31="🔴 STOCK MUERTO",Análisis!B31,""),"—")</f>
        <v/>
      </c>
      <c r="C111" s="67" t="str">
        <f aca="false">IFERROR(IF(Análisis!$K$31="🔴 STOCK MUERTO",Análisis!C31,""),"—")</f>
        <v/>
      </c>
      <c r="D111" s="67" t="str">
        <f aca="false">IFERROR(IF(Análisis!$K$31="🔴 STOCK MUERTO",Análisis!D31,""),"—")</f>
        <v/>
      </c>
      <c r="E111" s="69" t="str">
        <f aca="false">IFERROR(IF(Análisis!$K$31="🔴 STOCK MUERTO",Análisis!E31,""),"—")</f>
        <v/>
      </c>
      <c r="F111" s="70" t="str">
        <f aca="false">IFERROR(IF(Análisis!$K$31="🔴 STOCK MUERTO",Análisis!F31,""),"—")</f>
        <v/>
      </c>
      <c r="G111" s="67" t="str">
        <f aca="false">IFERROR(IF(Análisis!$K$31="🔴 STOCK MUERTO",Análisis!I31,""),"—")</f>
        <v/>
      </c>
      <c r="H111" s="67" t="str">
        <f aca="false">IFERROR(IF(Análisis!$K$31="🔴 STOCK MUERTO",Análisis!M31,""),"—")</f>
        <v/>
      </c>
      <c r="I111" s="71" t="str">
        <f aca="false">IFERROR(IF(Análisis!$K$31="🔴 STOCK MUERTO",Análisis!H31,""),"—")</f>
        <v/>
      </c>
      <c r="J111" s="67" t="str">
        <f aca="false">IFERROR(IF(Análisis!$K$31="🔴 STOCK MUERTO",Análisis!O31,""),"—")</f>
        <v/>
      </c>
    </row>
    <row r="112" customFormat="false" ht="15.75" hidden="false" customHeight="true" outlineLevel="0" collapsed="false">
      <c r="A112" s="67" t="str">
        <f aca="false">IFERROR(IF(Análisis!$K$32="🔴 STOCK MUERTO",Análisis!A32,""),"—")</f>
        <v/>
      </c>
      <c r="B112" s="68" t="str">
        <f aca="false">IFERROR(IF(Análisis!$K$32="🔴 STOCK MUERTO",Análisis!B32,""),"—")</f>
        <v/>
      </c>
      <c r="C112" s="67" t="str">
        <f aca="false">IFERROR(IF(Análisis!$K$32="🔴 STOCK MUERTO",Análisis!C32,""),"—")</f>
        <v/>
      </c>
      <c r="D112" s="67" t="str">
        <f aca="false">IFERROR(IF(Análisis!$K$32="🔴 STOCK MUERTO",Análisis!D32,""),"—")</f>
        <v/>
      </c>
      <c r="E112" s="69" t="str">
        <f aca="false">IFERROR(IF(Análisis!$K$32="🔴 STOCK MUERTO",Análisis!E32,""),"—")</f>
        <v/>
      </c>
      <c r="F112" s="70" t="str">
        <f aca="false">IFERROR(IF(Análisis!$K$32="🔴 STOCK MUERTO",Análisis!F32,""),"—")</f>
        <v/>
      </c>
      <c r="G112" s="67" t="str">
        <f aca="false">IFERROR(IF(Análisis!$K$32="🔴 STOCK MUERTO",Análisis!I32,""),"—")</f>
        <v/>
      </c>
      <c r="H112" s="67" t="str">
        <f aca="false">IFERROR(IF(Análisis!$K$32="🔴 STOCK MUERTO",Análisis!M32,""),"—")</f>
        <v/>
      </c>
      <c r="I112" s="71" t="str">
        <f aca="false">IFERROR(IF(Análisis!$K$32="🔴 STOCK MUERTO",Análisis!H32,""),"—")</f>
        <v/>
      </c>
      <c r="J112" s="67" t="str">
        <f aca="false">IFERROR(IF(Análisis!$K$32="🔴 STOCK MUERTO",Análisis!O32,""),"—")</f>
        <v/>
      </c>
    </row>
    <row r="113" customFormat="false" ht="15.75" hidden="false" customHeight="true" outlineLevel="0" collapsed="false">
      <c r="A113" s="67" t="str">
        <f aca="false">IFERROR(IF(Análisis!$K$33="🔴 STOCK MUERTO",Análisis!A33,""),"—")</f>
        <v/>
      </c>
      <c r="B113" s="68" t="str">
        <f aca="false">IFERROR(IF(Análisis!$K$33="🔴 STOCK MUERTO",Análisis!B33,""),"—")</f>
        <v/>
      </c>
      <c r="C113" s="67" t="str">
        <f aca="false">IFERROR(IF(Análisis!$K$33="🔴 STOCK MUERTO",Análisis!C33,""),"—")</f>
        <v/>
      </c>
      <c r="D113" s="67" t="str">
        <f aca="false">IFERROR(IF(Análisis!$K$33="🔴 STOCK MUERTO",Análisis!D33,""),"—")</f>
        <v/>
      </c>
      <c r="E113" s="69" t="str">
        <f aca="false">IFERROR(IF(Análisis!$K$33="🔴 STOCK MUERTO",Análisis!E33,""),"—")</f>
        <v/>
      </c>
      <c r="F113" s="70" t="str">
        <f aca="false">IFERROR(IF(Análisis!$K$33="🔴 STOCK MUERTO",Análisis!F33,""),"—")</f>
        <v/>
      </c>
      <c r="G113" s="67" t="str">
        <f aca="false">IFERROR(IF(Análisis!$K$33="🔴 STOCK MUERTO",Análisis!I33,""),"—")</f>
        <v/>
      </c>
      <c r="H113" s="67" t="str">
        <f aca="false">IFERROR(IF(Análisis!$K$33="🔴 STOCK MUERTO",Análisis!M33,""),"—")</f>
        <v/>
      </c>
      <c r="I113" s="71" t="str">
        <f aca="false">IFERROR(IF(Análisis!$K$33="🔴 STOCK MUERTO",Análisis!H33,""),"—")</f>
        <v/>
      </c>
      <c r="J113" s="67" t="str">
        <f aca="false">IFERROR(IF(Análisis!$K$33="🔴 STOCK MUERTO",Análisis!O33,""),"—")</f>
        <v/>
      </c>
    </row>
    <row r="114" customFormat="false" ht="15.75" hidden="false" customHeight="true" outlineLevel="0" collapsed="false">
      <c r="A114" s="67" t="str">
        <f aca="false">IFERROR(IF(Análisis!$K$34="🔴 STOCK MUERTO",Análisis!A34,""),"—")</f>
        <v/>
      </c>
      <c r="B114" s="68" t="str">
        <f aca="false">IFERROR(IF(Análisis!$K$34="🔴 STOCK MUERTO",Análisis!B34,""),"—")</f>
        <v/>
      </c>
      <c r="C114" s="67" t="str">
        <f aca="false">IFERROR(IF(Análisis!$K$34="🔴 STOCK MUERTO",Análisis!C34,""),"—")</f>
        <v/>
      </c>
      <c r="D114" s="67" t="str">
        <f aca="false">IFERROR(IF(Análisis!$K$34="🔴 STOCK MUERTO",Análisis!D34,""),"—")</f>
        <v/>
      </c>
      <c r="E114" s="69" t="str">
        <f aca="false">IFERROR(IF(Análisis!$K$34="🔴 STOCK MUERTO",Análisis!E34,""),"—")</f>
        <v/>
      </c>
      <c r="F114" s="70" t="str">
        <f aca="false">IFERROR(IF(Análisis!$K$34="🔴 STOCK MUERTO",Análisis!F34,""),"—")</f>
        <v/>
      </c>
      <c r="G114" s="67" t="str">
        <f aca="false">IFERROR(IF(Análisis!$K$34="🔴 STOCK MUERTO",Análisis!I34,""),"—")</f>
        <v/>
      </c>
      <c r="H114" s="67" t="str">
        <f aca="false">IFERROR(IF(Análisis!$K$34="🔴 STOCK MUERTO",Análisis!M34,""),"—")</f>
        <v/>
      </c>
      <c r="I114" s="71" t="str">
        <f aca="false">IFERROR(IF(Análisis!$K$34="🔴 STOCK MUERTO",Análisis!H34,""),"—")</f>
        <v/>
      </c>
      <c r="J114" s="67" t="str">
        <f aca="false">IFERROR(IF(Análisis!$K$34="🔴 STOCK MUERTO",Análisis!O34,""),"—")</f>
        <v/>
      </c>
    </row>
    <row r="115" customFormat="false" ht="15.75" hidden="false" customHeight="true" outlineLevel="0" collapsed="false">
      <c r="A115" s="67" t="str">
        <f aca="false">IFERROR(IF(Análisis!$K$35="🔴 STOCK MUERTO",Análisis!A35,""),"—")</f>
        <v>SKU-031</v>
      </c>
      <c r="B115" s="68" t="str">
        <f aca="false">IFERROR(IF(Análisis!$K$35="🔴 STOCK MUERTO",Análisis!B35,""),"—")</f>
        <v>Jabón en Polvo 3kg</v>
      </c>
      <c r="C115" s="67" t="str">
        <f aca="false">IFERROR(IF(Análisis!$K$35="🔴 STOCK MUERTO",Análisis!C35,""),"—")</f>
        <v>Limpieza del Hogar</v>
      </c>
      <c r="D115" s="67" t="n">
        <f aca="false">IFERROR(IF(Análisis!$K$35="🔴 STOCK MUERTO",Análisis!D35,""),"—")</f>
        <v>512</v>
      </c>
      <c r="E115" s="69" t="n">
        <f aca="false">IFERROR(IF(Análisis!$K$35="🔴 STOCK MUERTO",Análisis!E35,""),"—")</f>
        <v>76</v>
      </c>
      <c r="F115" s="70" t="n">
        <f aca="false">IFERROR(IF(Análisis!$K$35="🔴 STOCK MUERTO",Análisis!F35,""),"—")</f>
        <v>202.105263157895</v>
      </c>
      <c r="G115" s="67" t="n">
        <f aca="false">IFERROR(IF(Análisis!$K$35="🔴 STOCK MUERTO",Análisis!I35,""),"—")</f>
        <v>20</v>
      </c>
      <c r="H115" s="67" t="str">
        <f aca="false">IFERROR(IF(Análisis!$K$35="🔴 STOCK MUERTO",Análisis!M35,""),"—")</f>
        <v>C</v>
      </c>
      <c r="I115" s="71" t="n">
        <f aca="false">IFERROR(IF(Análisis!$K$35="🔴 STOCK MUERTO",Análisis!H35,""),"—")</f>
        <v>6912</v>
      </c>
      <c r="J115" s="67" t="str">
        <f aca="false">IFERROR(IF(Análisis!$K$35="🔴 STOCK MUERTO",Análisis!O35,""),"—")</f>
        <v>Reducir próxima compra</v>
      </c>
    </row>
    <row r="116" customFormat="false" ht="15.75" hidden="false" customHeight="true" outlineLevel="0" collapsed="false">
      <c r="A116" s="67" t="str">
        <f aca="false">IFERROR(IF(Análisis!$K$36="🔴 STOCK MUERTO",Análisis!A36,""),"—")</f>
        <v/>
      </c>
      <c r="B116" s="68" t="str">
        <f aca="false">IFERROR(IF(Análisis!$K$36="🔴 STOCK MUERTO",Análisis!B36,""),"—")</f>
        <v/>
      </c>
      <c r="C116" s="67" t="str">
        <f aca="false">IFERROR(IF(Análisis!$K$36="🔴 STOCK MUERTO",Análisis!C36,""),"—")</f>
        <v/>
      </c>
      <c r="D116" s="67" t="str">
        <f aca="false">IFERROR(IF(Análisis!$K$36="🔴 STOCK MUERTO",Análisis!D36,""),"—")</f>
        <v/>
      </c>
      <c r="E116" s="69" t="str">
        <f aca="false">IFERROR(IF(Análisis!$K$36="🔴 STOCK MUERTO",Análisis!E36,""),"—")</f>
        <v/>
      </c>
      <c r="F116" s="70" t="str">
        <f aca="false">IFERROR(IF(Análisis!$K$36="🔴 STOCK MUERTO",Análisis!F36,""),"—")</f>
        <v/>
      </c>
      <c r="G116" s="67" t="str">
        <f aca="false">IFERROR(IF(Análisis!$K$36="🔴 STOCK MUERTO",Análisis!I36,""),"—")</f>
        <v/>
      </c>
      <c r="H116" s="67" t="str">
        <f aca="false">IFERROR(IF(Análisis!$K$36="🔴 STOCK MUERTO",Análisis!M36,""),"—")</f>
        <v/>
      </c>
      <c r="I116" s="71" t="str">
        <f aca="false">IFERROR(IF(Análisis!$K$36="🔴 STOCK MUERTO",Análisis!H36,""),"—")</f>
        <v/>
      </c>
      <c r="J116" s="67" t="str">
        <f aca="false">IFERROR(IF(Análisis!$K$36="🔴 STOCK MUERTO",Análisis!O36,""),"—")</f>
        <v/>
      </c>
    </row>
    <row r="117" customFormat="false" ht="15.75" hidden="false" customHeight="true" outlineLevel="0" collapsed="false">
      <c r="A117" s="67" t="str">
        <f aca="false">IFERROR(IF(Análisis!$K$37="🔴 STOCK MUERTO",Análisis!A37,""),"—")</f>
        <v>SKU-033</v>
      </c>
      <c r="B117" s="68" t="str">
        <f aca="false">IFERROR(IF(Análisis!$K$37="🔴 STOCK MUERTO",Análisis!B37,""),"—")</f>
        <v>Suavizante Ropa 1.5L</v>
      </c>
      <c r="C117" s="67" t="str">
        <f aca="false">IFERROR(IF(Análisis!$K$37="🔴 STOCK MUERTO",Análisis!C37,""),"—")</f>
        <v>Limpieza del Hogar</v>
      </c>
      <c r="D117" s="67" t="n">
        <f aca="false">IFERROR(IF(Análisis!$K$37="🔴 STOCK MUERTO",Análisis!D37,""),"—")</f>
        <v>185</v>
      </c>
      <c r="E117" s="69" t="n">
        <f aca="false">IFERROR(IF(Análisis!$K$37="🔴 STOCK MUERTO",Análisis!E37,""),"—")</f>
        <v>1.16666666666667</v>
      </c>
      <c r="F117" s="70" t="n">
        <f aca="false">IFERROR(IF(Análisis!$K$37="🔴 STOCK MUERTO",Análisis!F37,""),"—")</f>
        <v>4757.14285714286</v>
      </c>
      <c r="G117" s="67" t="n">
        <f aca="false">IFERROR(IF(Análisis!$K$37="🔴 STOCK MUERTO",Análisis!I37,""),"—")</f>
        <v>5</v>
      </c>
      <c r="H117" s="67" t="str">
        <f aca="false">IFERROR(IF(Análisis!$K$37="🔴 STOCK MUERTO",Análisis!M37,""),"—")</f>
        <v>C</v>
      </c>
      <c r="I117" s="71" t="n">
        <f aca="false">IFERROR(IF(Análisis!$K$37="🔴 STOCK MUERTO",Análisis!H37,""),"—")</f>
        <v>1147</v>
      </c>
      <c r="J117" s="67" t="str">
        <f aca="false">IFERROR(IF(Análisis!$K$37="🔴 STOCK MUERTO",Análisis!O37,""),"—")</f>
        <v>LIQUIDAR / DEVOLVER</v>
      </c>
    </row>
    <row r="118" customFormat="false" ht="15.75" hidden="false" customHeight="true" outlineLevel="0" collapsed="false">
      <c r="A118" s="67" t="str">
        <f aca="false">IFERROR(IF(Análisis!$K$38="🔴 STOCK MUERTO",Análisis!A38,""),"—")</f>
        <v/>
      </c>
      <c r="B118" s="68" t="str">
        <f aca="false">IFERROR(IF(Análisis!$K$38="🔴 STOCK MUERTO",Análisis!B38,""),"—")</f>
        <v/>
      </c>
      <c r="C118" s="67" t="str">
        <f aca="false">IFERROR(IF(Análisis!$K$38="🔴 STOCK MUERTO",Análisis!C38,""),"—")</f>
        <v/>
      </c>
      <c r="D118" s="67" t="str">
        <f aca="false">IFERROR(IF(Análisis!$K$38="🔴 STOCK MUERTO",Análisis!D38,""),"—")</f>
        <v/>
      </c>
      <c r="E118" s="69" t="str">
        <f aca="false">IFERROR(IF(Análisis!$K$38="🔴 STOCK MUERTO",Análisis!E38,""),"—")</f>
        <v/>
      </c>
      <c r="F118" s="70" t="str">
        <f aca="false">IFERROR(IF(Análisis!$K$38="🔴 STOCK MUERTO",Análisis!F38,""),"—")</f>
        <v/>
      </c>
      <c r="G118" s="67" t="str">
        <f aca="false">IFERROR(IF(Análisis!$K$38="🔴 STOCK MUERTO",Análisis!I38,""),"—")</f>
        <v/>
      </c>
      <c r="H118" s="67" t="str">
        <f aca="false">IFERROR(IF(Análisis!$K$38="🔴 STOCK MUERTO",Análisis!M38,""),"—")</f>
        <v/>
      </c>
      <c r="I118" s="71" t="str">
        <f aca="false">IFERROR(IF(Análisis!$K$38="🔴 STOCK MUERTO",Análisis!H38,""),"—")</f>
        <v/>
      </c>
      <c r="J118" s="67" t="str">
        <f aca="false">IFERROR(IF(Análisis!$K$38="🔴 STOCK MUERTO",Análisis!O38,""),"—")</f>
        <v/>
      </c>
    </row>
    <row r="119" customFormat="false" ht="15.75" hidden="false" customHeight="true" outlineLevel="0" collapsed="false">
      <c r="A119" s="67" t="str">
        <f aca="false">IFERROR(IF(Análisis!$K$39="🔴 STOCK MUERTO",Análisis!A39,""),"—")</f>
        <v/>
      </c>
      <c r="B119" s="68" t="str">
        <f aca="false">IFERROR(IF(Análisis!$K$39="🔴 STOCK MUERTO",Análisis!B39,""),"—")</f>
        <v/>
      </c>
      <c r="C119" s="67" t="str">
        <f aca="false">IFERROR(IF(Análisis!$K$39="🔴 STOCK MUERTO",Análisis!C39,""),"—")</f>
        <v/>
      </c>
      <c r="D119" s="67" t="str">
        <f aca="false">IFERROR(IF(Análisis!$K$39="🔴 STOCK MUERTO",Análisis!D39,""),"—")</f>
        <v/>
      </c>
      <c r="E119" s="69" t="str">
        <f aca="false">IFERROR(IF(Análisis!$K$39="🔴 STOCK MUERTO",Análisis!E39,""),"—")</f>
        <v/>
      </c>
      <c r="F119" s="70" t="str">
        <f aca="false">IFERROR(IF(Análisis!$K$39="🔴 STOCK MUERTO",Análisis!F39,""),"—")</f>
        <v/>
      </c>
      <c r="G119" s="67" t="str">
        <f aca="false">IFERROR(IF(Análisis!$K$39="🔴 STOCK MUERTO",Análisis!I39,""),"—")</f>
        <v/>
      </c>
      <c r="H119" s="67" t="str">
        <f aca="false">IFERROR(IF(Análisis!$K$39="🔴 STOCK MUERTO",Análisis!M39,""),"—")</f>
        <v/>
      </c>
      <c r="I119" s="71" t="str">
        <f aca="false">IFERROR(IF(Análisis!$K$39="🔴 STOCK MUERTO",Análisis!H39,""),"—")</f>
        <v/>
      </c>
      <c r="J119" s="67" t="str">
        <f aca="false">IFERROR(IF(Análisis!$K$39="🔴 STOCK MUERTO",Análisis!O39,""),"—")</f>
        <v/>
      </c>
    </row>
    <row r="120" customFormat="false" ht="15.75" hidden="false" customHeight="true" outlineLevel="0" collapsed="false">
      <c r="A120" s="67" t="str">
        <f aca="false">IFERROR(IF(Análisis!$K$40="🔴 STOCK MUERTO",Análisis!A40,""),"—")</f>
        <v/>
      </c>
      <c r="B120" s="68" t="str">
        <f aca="false">IFERROR(IF(Análisis!$K$40="🔴 STOCK MUERTO",Análisis!B40,""),"—")</f>
        <v/>
      </c>
      <c r="C120" s="67" t="str">
        <f aca="false">IFERROR(IF(Análisis!$K$40="🔴 STOCK MUERTO",Análisis!C40,""),"—")</f>
        <v/>
      </c>
      <c r="D120" s="67" t="str">
        <f aca="false">IFERROR(IF(Análisis!$K$40="🔴 STOCK MUERTO",Análisis!D40,""),"—")</f>
        <v/>
      </c>
      <c r="E120" s="69" t="str">
        <f aca="false">IFERROR(IF(Análisis!$K$40="🔴 STOCK MUERTO",Análisis!E40,""),"—")</f>
        <v/>
      </c>
      <c r="F120" s="70" t="str">
        <f aca="false">IFERROR(IF(Análisis!$K$40="🔴 STOCK MUERTO",Análisis!F40,""),"—")</f>
        <v/>
      </c>
      <c r="G120" s="67" t="str">
        <f aca="false">IFERROR(IF(Análisis!$K$40="🔴 STOCK MUERTO",Análisis!I40,""),"—")</f>
        <v/>
      </c>
      <c r="H120" s="67" t="str">
        <f aca="false">IFERROR(IF(Análisis!$K$40="🔴 STOCK MUERTO",Análisis!M40,""),"—")</f>
        <v/>
      </c>
      <c r="I120" s="71" t="str">
        <f aca="false">IFERROR(IF(Análisis!$K$40="🔴 STOCK MUERTO",Análisis!H40,""),"—")</f>
        <v/>
      </c>
      <c r="J120" s="67" t="str">
        <f aca="false">IFERROR(IF(Análisis!$K$40="🔴 STOCK MUERTO",Análisis!O40,""),"—")</f>
        <v/>
      </c>
    </row>
    <row r="121" customFormat="false" ht="15.75" hidden="false" customHeight="true" outlineLevel="0" collapsed="false">
      <c r="A121" s="67" t="str">
        <f aca="false">IFERROR(IF(Análisis!$K$41="🔴 STOCK MUERTO",Análisis!A41,""),"—")</f>
        <v/>
      </c>
      <c r="B121" s="68" t="str">
        <f aca="false">IFERROR(IF(Análisis!$K$41="🔴 STOCK MUERTO",Análisis!B41,""),"—")</f>
        <v/>
      </c>
      <c r="C121" s="67" t="str">
        <f aca="false">IFERROR(IF(Análisis!$K$41="🔴 STOCK MUERTO",Análisis!C41,""),"—")</f>
        <v/>
      </c>
      <c r="D121" s="67" t="str">
        <f aca="false">IFERROR(IF(Análisis!$K$41="🔴 STOCK MUERTO",Análisis!D41,""),"—")</f>
        <v/>
      </c>
      <c r="E121" s="69" t="str">
        <f aca="false">IFERROR(IF(Análisis!$K$41="🔴 STOCK MUERTO",Análisis!E41,""),"—")</f>
        <v/>
      </c>
      <c r="F121" s="70" t="str">
        <f aca="false">IFERROR(IF(Análisis!$K$41="🔴 STOCK MUERTO",Análisis!F41,""),"—")</f>
        <v/>
      </c>
      <c r="G121" s="67" t="str">
        <f aca="false">IFERROR(IF(Análisis!$K$41="🔴 STOCK MUERTO",Análisis!I41,""),"—")</f>
        <v/>
      </c>
      <c r="H121" s="67" t="str">
        <f aca="false">IFERROR(IF(Análisis!$K$41="🔴 STOCK MUERTO",Análisis!M41,""),"—")</f>
        <v/>
      </c>
      <c r="I121" s="71" t="str">
        <f aca="false">IFERROR(IF(Análisis!$K$41="🔴 STOCK MUERTO",Análisis!H41,""),"—")</f>
        <v/>
      </c>
      <c r="J121" s="67" t="str">
        <f aca="false">IFERROR(IF(Análisis!$K$41="🔴 STOCK MUERTO",Análisis!O41,""),"—")</f>
        <v/>
      </c>
    </row>
    <row r="122" customFormat="false" ht="15.75" hidden="false" customHeight="true" outlineLevel="0" collapsed="false">
      <c r="A122" s="67" t="str">
        <f aca="false">IFERROR(IF(Análisis!$K$42="🔴 STOCK MUERTO",Análisis!A42,""),"—")</f>
        <v>SKU-038</v>
      </c>
      <c r="B122" s="68" t="str">
        <f aca="false">IFERROR(IF(Análisis!$K$42="🔴 STOCK MUERTO",Análisis!B42,""),"—")</f>
        <v>Esponjas Doble Faz x3</v>
      </c>
      <c r="C122" s="67" t="str">
        <f aca="false">IFERROR(IF(Análisis!$K$42="🔴 STOCK MUERTO",Análisis!C42,""),"—")</f>
        <v>Limpieza del Hogar</v>
      </c>
      <c r="D122" s="67" t="n">
        <f aca="false">IFERROR(IF(Análisis!$K$42="🔴 STOCK MUERTO",Análisis!D42,""),"—")</f>
        <v>556</v>
      </c>
      <c r="E122" s="69" t="n">
        <f aca="false">IFERROR(IF(Análisis!$K$42="🔴 STOCK MUERTO",Análisis!E42,""),"—")</f>
        <v>88.3333333333333</v>
      </c>
      <c r="F122" s="70" t="n">
        <f aca="false">IFERROR(IF(Análisis!$K$42="🔴 STOCK MUERTO",Análisis!F42,""),"—")</f>
        <v>188.830188679245</v>
      </c>
      <c r="G122" s="67" t="n">
        <f aca="false">IFERROR(IF(Análisis!$K$42="🔴 STOCK MUERTO",Análisis!I42,""),"—")</f>
        <v>17</v>
      </c>
      <c r="H122" s="67" t="str">
        <f aca="false">IFERROR(IF(Análisis!$K$42="🔴 STOCK MUERTO",Análisis!M42,""),"—")</f>
        <v>C</v>
      </c>
      <c r="I122" s="71" t="n">
        <f aca="false">IFERROR(IF(Análisis!$K$42="🔴 STOCK MUERTO",Análisis!H42,""),"—")</f>
        <v>1223.2</v>
      </c>
      <c r="J122" s="67" t="str">
        <f aca="false">IFERROR(IF(Análisis!$K$42="🔴 STOCK MUERTO",Análisis!O42,""),"—")</f>
        <v>Reducir próxima compra</v>
      </c>
    </row>
    <row r="123" customFormat="false" ht="15.75" hidden="false" customHeight="true" outlineLevel="0" collapsed="false">
      <c r="A123" s="67" t="str">
        <f aca="false">IFERROR(IF(Análisis!$K$43="🔴 STOCK MUERTO",Análisis!A43,""),"—")</f>
        <v/>
      </c>
      <c r="B123" s="68" t="str">
        <f aca="false">IFERROR(IF(Análisis!$K$43="🔴 STOCK MUERTO",Análisis!B43,""),"—")</f>
        <v/>
      </c>
      <c r="C123" s="67" t="str">
        <f aca="false">IFERROR(IF(Análisis!$K$43="🔴 STOCK MUERTO",Análisis!C43,""),"—")</f>
        <v/>
      </c>
      <c r="D123" s="67" t="str">
        <f aca="false">IFERROR(IF(Análisis!$K$43="🔴 STOCK MUERTO",Análisis!D43,""),"—")</f>
        <v/>
      </c>
      <c r="E123" s="69" t="str">
        <f aca="false">IFERROR(IF(Análisis!$K$43="🔴 STOCK MUERTO",Análisis!E43,""),"—")</f>
        <v/>
      </c>
      <c r="F123" s="70" t="str">
        <f aca="false">IFERROR(IF(Análisis!$K$43="🔴 STOCK MUERTO",Análisis!F43,""),"—")</f>
        <v/>
      </c>
      <c r="G123" s="67" t="str">
        <f aca="false">IFERROR(IF(Análisis!$K$43="🔴 STOCK MUERTO",Análisis!I43,""),"—")</f>
        <v/>
      </c>
      <c r="H123" s="67" t="str">
        <f aca="false">IFERROR(IF(Análisis!$K$43="🔴 STOCK MUERTO",Análisis!M43,""),"—")</f>
        <v/>
      </c>
      <c r="I123" s="71" t="str">
        <f aca="false">IFERROR(IF(Análisis!$K$43="🔴 STOCK MUERTO",Análisis!H43,""),"—")</f>
        <v/>
      </c>
      <c r="J123" s="67" t="str">
        <f aca="false">IFERROR(IF(Análisis!$K$43="🔴 STOCK MUERTO",Análisis!O43,""),"—")</f>
        <v/>
      </c>
    </row>
    <row r="124" customFormat="false" ht="15.75" hidden="false" customHeight="true" outlineLevel="0" collapsed="false">
      <c r="A124" s="67" t="str">
        <f aca="false">IFERROR(IF(Análisis!$K$44="🔴 STOCK MUERTO",Análisis!A44,""),"—")</f>
        <v/>
      </c>
      <c r="B124" s="68" t="str">
        <f aca="false">IFERROR(IF(Análisis!$K$44="🔴 STOCK MUERTO",Análisis!B44,""),"—")</f>
        <v/>
      </c>
      <c r="C124" s="67" t="str">
        <f aca="false">IFERROR(IF(Análisis!$K$44="🔴 STOCK MUERTO",Análisis!C44,""),"—")</f>
        <v/>
      </c>
      <c r="D124" s="67" t="str">
        <f aca="false">IFERROR(IF(Análisis!$K$44="🔴 STOCK MUERTO",Análisis!D44,""),"—")</f>
        <v/>
      </c>
      <c r="E124" s="69" t="str">
        <f aca="false">IFERROR(IF(Análisis!$K$44="🔴 STOCK MUERTO",Análisis!E44,""),"—")</f>
        <v/>
      </c>
      <c r="F124" s="70" t="str">
        <f aca="false">IFERROR(IF(Análisis!$K$44="🔴 STOCK MUERTO",Análisis!F44,""),"—")</f>
        <v/>
      </c>
      <c r="G124" s="67" t="str">
        <f aca="false">IFERROR(IF(Análisis!$K$44="🔴 STOCK MUERTO",Análisis!I44,""),"—")</f>
        <v/>
      </c>
      <c r="H124" s="67" t="str">
        <f aca="false">IFERROR(IF(Análisis!$K$44="🔴 STOCK MUERTO",Análisis!M44,""),"—")</f>
        <v/>
      </c>
      <c r="I124" s="71" t="str">
        <f aca="false">IFERROR(IF(Análisis!$K$44="🔴 STOCK MUERTO",Análisis!H44,""),"—")</f>
        <v/>
      </c>
      <c r="J124" s="67" t="str">
        <f aca="false">IFERROR(IF(Análisis!$K$44="🔴 STOCK MUERTO",Análisis!O44,""),"—")</f>
        <v/>
      </c>
    </row>
    <row r="125" customFormat="false" ht="15.75" hidden="false" customHeight="true" outlineLevel="0" collapsed="false">
      <c r="A125" s="67" t="str">
        <f aca="false">IFERROR(IF(Análisis!$K$45="🔴 STOCK MUERTO",Análisis!A45,""),"—")</f>
        <v/>
      </c>
      <c r="B125" s="68" t="str">
        <f aca="false">IFERROR(IF(Análisis!$K$45="🔴 STOCK MUERTO",Análisis!B45,""),"—")</f>
        <v/>
      </c>
      <c r="C125" s="67" t="str">
        <f aca="false">IFERROR(IF(Análisis!$K$45="🔴 STOCK MUERTO",Análisis!C45,""),"—")</f>
        <v/>
      </c>
      <c r="D125" s="67" t="str">
        <f aca="false">IFERROR(IF(Análisis!$K$45="🔴 STOCK MUERTO",Análisis!D45,""),"—")</f>
        <v/>
      </c>
      <c r="E125" s="69" t="str">
        <f aca="false">IFERROR(IF(Análisis!$K$45="🔴 STOCK MUERTO",Análisis!E45,""),"—")</f>
        <v/>
      </c>
      <c r="F125" s="70" t="str">
        <f aca="false">IFERROR(IF(Análisis!$K$45="🔴 STOCK MUERTO",Análisis!F45,""),"—")</f>
        <v/>
      </c>
      <c r="G125" s="67" t="str">
        <f aca="false">IFERROR(IF(Análisis!$K$45="🔴 STOCK MUERTO",Análisis!I45,""),"—")</f>
        <v/>
      </c>
      <c r="H125" s="67" t="str">
        <f aca="false">IFERROR(IF(Análisis!$K$45="🔴 STOCK MUERTO",Análisis!M45,""),"—")</f>
        <v/>
      </c>
      <c r="I125" s="71" t="str">
        <f aca="false">IFERROR(IF(Análisis!$K$45="🔴 STOCK MUERTO",Análisis!H45,""),"—")</f>
        <v/>
      </c>
      <c r="J125" s="67" t="str">
        <f aca="false">IFERROR(IF(Análisis!$K$45="🔴 STOCK MUERTO",Análisis!O45,""),"—")</f>
        <v/>
      </c>
    </row>
    <row r="126" customFormat="false" ht="15.75" hidden="false" customHeight="true" outlineLevel="0" collapsed="false">
      <c r="A126" s="67" t="str">
        <f aca="false">IFERROR(IF(Análisis!$K$46="🔴 STOCK MUERTO",Análisis!A46,""),"—")</f>
        <v>SKU-042</v>
      </c>
      <c r="B126" s="68" t="str">
        <f aca="false">IFERROR(IF(Análisis!$K$46="🔴 STOCK MUERTO",Análisis!B46,""),"—")</f>
        <v>Bolsas de Basura x10 90L</v>
      </c>
      <c r="C126" s="67" t="str">
        <f aca="false">IFERROR(IF(Análisis!$K$46="🔴 STOCK MUERTO",Análisis!C46,""),"—")</f>
        <v>Limpieza del Hogar</v>
      </c>
      <c r="D126" s="67" t="n">
        <f aca="false">IFERROR(IF(Análisis!$K$46="🔴 STOCK MUERTO",Análisis!D46,""),"—")</f>
        <v>606</v>
      </c>
      <c r="E126" s="69" t="n">
        <f aca="false">IFERROR(IF(Análisis!$K$46="🔴 STOCK MUERTO",Análisis!E46,""),"—")</f>
        <v>91.5</v>
      </c>
      <c r="F126" s="70" t="n">
        <f aca="false">IFERROR(IF(Análisis!$K$46="🔴 STOCK MUERTO",Análisis!F46,""),"—")</f>
        <v>198.688524590164</v>
      </c>
      <c r="G126" s="67" t="n">
        <f aca="false">IFERROR(IF(Análisis!$K$46="🔴 STOCK MUERTO",Análisis!I46,""),"—")</f>
        <v>14</v>
      </c>
      <c r="H126" s="67" t="str">
        <f aca="false">IFERROR(IF(Análisis!$K$46="🔴 STOCK MUERTO",Análisis!M46,""),"—")</f>
        <v>C</v>
      </c>
      <c r="I126" s="71" t="n">
        <f aca="false">IFERROR(IF(Análisis!$K$46="🔴 STOCK MUERTO",Análisis!H46,""),"—")</f>
        <v>1696.8</v>
      </c>
      <c r="J126" s="67" t="str">
        <f aca="false">IFERROR(IF(Análisis!$K$46="🔴 STOCK MUERTO",Análisis!O46,""),"—")</f>
        <v>Reducir próxima compra</v>
      </c>
    </row>
    <row r="127" customFormat="false" ht="15.75" hidden="false" customHeight="true" outlineLevel="0" collapsed="false">
      <c r="A127" s="67" t="str">
        <f aca="false">IFERROR(IF(Análisis!$K$47="🔴 STOCK MUERTO",Análisis!A47,""),"—")</f>
        <v/>
      </c>
      <c r="B127" s="68" t="str">
        <f aca="false">IFERROR(IF(Análisis!$K$47="🔴 STOCK MUERTO",Análisis!B47,""),"—")</f>
        <v/>
      </c>
      <c r="C127" s="67" t="str">
        <f aca="false">IFERROR(IF(Análisis!$K$47="🔴 STOCK MUERTO",Análisis!C47,""),"—")</f>
        <v/>
      </c>
      <c r="D127" s="67" t="str">
        <f aca="false">IFERROR(IF(Análisis!$K$47="🔴 STOCK MUERTO",Análisis!D47,""),"—")</f>
        <v/>
      </c>
      <c r="E127" s="69" t="str">
        <f aca="false">IFERROR(IF(Análisis!$K$47="🔴 STOCK MUERTO",Análisis!E47,""),"—")</f>
        <v/>
      </c>
      <c r="F127" s="70" t="str">
        <f aca="false">IFERROR(IF(Análisis!$K$47="🔴 STOCK MUERTO",Análisis!F47,""),"—")</f>
        <v/>
      </c>
      <c r="G127" s="67" t="str">
        <f aca="false">IFERROR(IF(Análisis!$K$47="🔴 STOCK MUERTO",Análisis!I47,""),"—")</f>
        <v/>
      </c>
      <c r="H127" s="67" t="str">
        <f aca="false">IFERROR(IF(Análisis!$K$47="🔴 STOCK MUERTO",Análisis!M47,""),"—")</f>
        <v/>
      </c>
      <c r="I127" s="71" t="str">
        <f aca="false">IFERROR(IF(Análisis!$K$47="🔴 STOCK MUERTO",Análisis!H47,""),"—")</f>
        <v/>
      </c>
      <c r="J127" s="67" t="str">
        <f aca="false">IFERROR(IF(Análisis!$K$47="🔴 STOCK MUERTO",Análisis!O47,""),"—")</f>
        <v/>
      </c>
    </row>
    <row r="128" customFormat="false" ht="15.75" hidden="false" customHeight="true" outlineLevel="0" collapsed="false">
      <c r="A128" s="67" t="str">
        <f aca="false">IFERROR(IF(Análisis!$K$48="🔴 STOCK MUERTO",Análisis!A48,""),"—")</f>
        <v/>
      </c>
      <c r="B128" s="68" t="str">
        <f aca="false">IFERROR(IF(Análisis!$K$48="🔴 STOCK MUERTO",Análisis!B48,""),"—")</f>
        <v/>
      </c>
      <c r="C128" s="67" t="str">
        <f aca="false">IFERROR(IF(Análisis!$K$48="🔴 STOCK MUERTO",Análisis!C48,""),"—")</f>
        <v/>
      </c>
      <c r="D128" s="67" t="str">
        <f aca="false">IFERROR(IF(Análisis!$K$48="🔴 STOCK MUERTO",Análisis!D48,""),"—")</f>
        <v/>
      </c>
      <c r="E128" s="69" t="str">
        <f aca="false">IFERROR(IF(Análisis!$K$48="🔴 STOCK MUERTO",Análisis!E48,""),"—")</f>
        <v/>
      </c>
      <c r="F128" s="70" t="str">
        <f aca="false">IFERROR(IF(Análisis!$K$48="🔴 STOCK MUERTO",Análisis!F48,""),"—")</f>
        <v/>
      </c>
      <c r="G128" s="67" t="str">
        <f aca="false">IFERROR(IF(Análisis!$K$48="🔴 STOCK MUERTO",Análisis!I48,""),"—")</f>
        <v/>
      </c>
      <c r="H128" s="67" t="str">
        <f aca="false">IFERROR(IF(Análisis!$K$48="🔴 STOCK MUERTO",Análisis!M48,""),"—")</f>
        <v/>
      </c>
      <c r="I128" s="71" t="str">
        <f aca="false">IFERROR(IF(Análisis!$K$48="🔴 STOCK MUERTO",Análisis!H48,""),"—")</f>
        <v/>
      </c>
      <c r="J128" s="67" t="str">
        <f aca="false">IFERROR(IF(Análisis!$K$48="🔴 STOCK MUERTO",Análisis!O48,""),"—")</f>
        <v/>
      </c>
    </row>
    <row r="129" customFormat="false" ht="15.75" hidden="false" customHeight="true" outlineLevel="0" collapsed="false">
      <c r="A129" s="67" t="str">
        <f aca="false">IFERROR(IF(Análisis!$K$49="🔴 STOCK MUERTO",Análisis!A49,""),"—")</f>
        <v/>
      </c>
      <c r="B129" s="68" t="str">
        <f aca="false">IFERROR(IF(Análisis!$K$49="🔴 STOCK MUERTO",Análisis!B49,""),"—")</f>
        <v/>
      </c>
      <c r="C129" s="67" t="str">
        <f aca="false">IFERROR(IF(Análisis!$K$49="🔴 STOCK MUERTO",Análisis!C49,""),"—")</f>
        <v/>
      </c>
      <c r="D129" s="67" t="str">
        <f aca="false">IFERROR(IF(Análisis!$K$49="🔴 STOCK MUERTO",Análisis!D49,""),"—")</f>
        <v/>
      </c>
      <c r="E129" s="69" t="str">
        <f aca="false">IFERROR(IF(Análisis!$K$49="🔴 STOCK MUERTO",Análisis!E49,""),"—")</f>
        <v/>
      </c>
      <c r="F129" s="70" t="str">
        <f aca="false">IFERROR(IF(Análisis!$K$49="🔴 STOCK MUERTO",Análisis!F49,""),"—")</f>
        <v/>
      </c>
      <c r="G129" s="67" t="str">
        <f aca="false">IFERROR(IF(Análisis!$K$49="🔴 STOCK MUERTO",Análisis!I49,""),"—")</f>
        <v/>
      </c>
      <c r="H129" s="67" t="str">
        <f aca="false">IFERROR(IF(Análisis!$K$49="🔴 STOCK MUERTO",Análisis!M49,""),"—")</f>
        <v/>
      </c>
      <c r="I129" s="71" t="str">
        <f aca="false">IFERROR(IF(Análisis!$K$49="🔴 STOCK MUERTO",Análisis!H49,""),"—")</f>
        <v/>
      </c>
      <c r="J129" s="67" t="str">
        <f aca="false">IFERROR(IF(Análisis!$K$49="🔴 STOCK MUERTO",Análisis!O49,""),"—")</f>
        <v/>
      </c>
    </row>
    <row r="130" customFormat="false" ht="15.75" hidden="false" customHeight="true" outlineLevel="0" collapsed="false">
      <c r="A130" s="67" t="str">
        <f aca="false">IFERROR(IF(Análisis!$K$50="🔴 STOCK MUERTO",Análisis!A50,""),"—")</f>
        <v/>
      </c>
      <c r="B130" s="68" t="str">
        <f aca="false">IFERROR(IF(Análisis!$K$50="🔴 STOCK MUERTO",Análisis!B50,""),"—")</f>
        <v/>
      </c>
      <c r="C130" s="67" t="str">
        <f aca="false">IFERROR(IF(Análisis!$K$50="🔴 STOCK MUERTO",Análisis!C50,""),"—")</f>
        <v/>
      </c>
      <c r="D130" s="67" t="str">
        <f aca="false">IFERROR(IF(Análisis!$K$50="🔴 STOCK MUERTO",Análisis!D50,""),"—")</f>
        <v/>
      </c>
      <c r="E130" s="69" t="str">
        <f aca="false">IFERROR(IF(Análisis!$K$50="🔴 STOCK MUERTO",Análisis!E50,""),"—")</f>
        <v/>
      </c>
      <c r="F130" s="70" t="str">
        <f aca="false">IFERROR(IF(Análisis!$K$50="🔴 STOCK MUERTO",Análisis!F50,""),"—")</f>
        <v/>
      </c>
      <c r="G130" s="67" t="str">
        <f aca="false">IFERROR(IF(Análisis!$K$50="🔴 STOCK MUERTO",Análisis!I50,""),"—")</f>
        <v/>
      </c>
      <c r="H130" s="67" t="str">
        <f aca="false">IFERROR(IF(Análisis!$K$50="🔴 STOCK MUERTO",Análisis!M50,""),"—")</f>
        <v/>
      </c>
      <c r="I130" s="71" t="str">
        <f aca="false">IFERROR(IF(Análisis!$K$50="🔴 STOCK MUERTO",Análisis!H50,""),"—")</f>
        <v/>
      </c>
      <c r="J130" s="67" t="str">
        <f aca="false">IFERROR(IF(Análisis!$K$50="🔴 STOCK MUERTO",Análisis!O50,""),"—")</f>
        <v/>
      </c>
    </row>
    <row r="131" customFormat="false" ht="15.75" hidden="false" customHeight="true" outlineLevel="0" collapsed="false">
      <c r="A131" s="67" t="str">
        <f aca="false">IFERROR(IF(Análisis!$K$51="🔴 STOCK MUERTO",Análisis!A51,""),"—")</f>
        <v/>
      </c>
      <c r="B131" s="68" t="str">
        <f aca="false">IFERROR(IF(Análisis!$K$51="🔴 STOCK MUERTO",Análisis!B51,""),"—")</f>
        <v/>
      </c>
      <c r="C131" s="67" t="str">
        <f aca="false">IFERROR(IF(Análisis!$K$51="🔴 STOCK MUERTO",Análisis!C51,""),"—")</f>
        <v/>
      </c>
      <c r="D131" s="67" t="str">
        <f aca="false">IFERROR(IF(Análisis!$K$51="🔴 STOCK MUERTO",Análisis!D51,""),"—")</f>
        <v/>
      </c>
      <c r="E131" s="69" t="str">
        <f aca="false">IFERROR(IF(Análisis!$K$51="🔴 STOCK MUERTO",Análisis!E51,""),"—")</f>
        <v/>
      </c>
      <c r="F131" s="70" t="str">
        <f aca="false">IFERROR(IF(Análisis!$K$51="🔴 STOCK MUERTO",Análisis!F51,""),"—")</f>
        <v/>
      </c>
      <c r="G131" s="67" t="str">
        <f aca="false">IFERROR(IF(Análisis!$K$51="🔴 STOCK MUERTO",Análisis!I51,""),"—")</f>
        <v/>
      </c>
      <c r="H131" s="67" t="str">
        <f aca="false">IFERROR(IF(Análisis!$K$51="🔴 STOCK MUERTO",Análisis!M51,""),"—")</f>
        <v/>
      </c>
      <c r="I131" s="71" t="str">
        <f aca="false">IFERROR(IF(Análisis!$K$51="🔴 STOCK MUERTO",Análisis!H51,""),"—")</f>
        <v/>
      </c>
      <c r="J131" s="67" t="str">
        <f aca="false">IFERROR(IF(Análisis!$K$51="🔴 STOCK MUERTO",Análisis!O51,""),"—")</f>
        <v/>
      </c>
    </row>
    <row r="132" customFormat="false" ht="15.75" hidden="false" customHeight="true" outlineLevel="0" collapsed="false">
      <c r="A132" s="67" t="str">
        <f aca="false">IFERROR(IF(Análisis!$K$52="🔴 STOCK MUERTO",Análisis!A52,""),"—")</f>
        <v>SKU-048</v>
      </c>
      <c r="B132" s="68" t="str">
        <f aca="false">IFERROR(IF(Análisis!$K$52="🔴 STOCK MUERTO",Análisis!B52,""),"—")</f>
        <v>Repasador x2</v>
      </c>
      <c r="C132" s="67" t="str">
        <f aca="false">IFERROR(IF(Análisis!$K$52="🔴 STOCK MUERTO",Análisis!C52,""),"—")</f>
        <v>Limpieza del Hogar</v>
      </c>
      <c r="D132" s="67" t="n">
        <f aca="false">IFERROR(IF(Análisis!$K$52="🔴 STOCK MUERTO",Análisis!D52,""),"—")</f>
        <v>229</v>
      </c>
      <c r="E132" s="69" t="n">
        <f aca="false">IFERROR(IF(Análisis!$K$52="🔴 STOCK MUERTO",Análisis!E52,""),"—")</f>
        <v>1.66666666666667</v>
      </c>
      <c r="F132" s="70" t="n">
        <f aca="false">IFERROR(IF(Análisis!$K$52="🔴 STOCK MUERTO",Análisis!F52,""),"—")</f>
        <v>4122</v>
      </c>
      <c r="G132" s="67" t="n">
        <f aca="false">IFERROR(IF(Análisis!$K$52="🔴 STOCK MUERTO",Análisis!I52,""),"—")</f>
        <v>5</v>
      </c>
      <c r="H132" s="67" t="str">
        <f aca="false">IFERROR(IF(Análisis!$K$52="🔴 STOCK MUERTO",Análisis!M52,""),"—")</f>
        <v>C</v>
      </c>
      <c r="I132" s="71" t="n">
        <f aca="false">IFERROR(IF(Análisis!$K$52="🔴 STOCK MUERTO",Análisis!H52,""),"—")</f>
        <v>961.8</v>
      </c>
      <c r="J132" s="67" t="str">
        <f aca="false">IFERROR(IF(Análisis!$K$52="🔴 STOCK MUERTO",Análisis!O52,""),"—")</f>
        <v>LIQUIDAR / DEVOLVER</v>
      </c>
    </row>
    <row r="133" customFormat="false" ht="15.75" hidden="false" customHeight="true" outlineLevel="0" collapsed="false">
      <c r="A133" s="67" t="str">
        <f aca="false">IFERROR(IF(Análisis!$K$53="🔴 STOCK MUERTO",Análisis!A53,""),"—")</f>
        <v/>
      </c>
      <c r="B133" s="68" t="str">
        <f aca="false">IFERROR(IF(Análisis!$K$53="🔴 STOCK MUERTO",Análisis!B53,""),"—")</f>
        <v/>
      </c>
      <c r="C133" s="67" t="str">
        <f aca="false">IFERROR(IF(Análisis!$K$53="🔴 STOCK MUERTO",Análisis!C53,""),"—")</f>
        <v/>
      </c>
      <c r="D133" s="67" t="str">
        <f aca="false">IFERROR(IF(Análisis!$K$53="🔴 STOCK MUERTO",Análisis!D53,""),"—")</f>
        <v/>
      </c>
      <c r="E133" s="69" t="str">
        <f aca="false">IFERROR(IF(Análisis!$K$53="🔴 STOCK MUERTO",Análisis!E53,""),"—")</f>
        <v/>
      </c>
      <c r="F133" s="70" t="str">
        <f aca="false">IFERROR(IF(Análisis!$K$53="🔴 STOCK MUERTO",Análisis!F53,""),"—")</f>
        <v/>
      </c>
      <c r="G133" s="67" t="str">
        <f aca="false">IFERROR(IF(Análisis!$K$53="🔴 STOCK MUERTO",Análisis!I53,""),"—")</f>
        <v/>
      </c>
      <c r="H133" s="67" t="str">
        <f aca="false">IFERROR(IF(Análisis!$K$53="🔴 STOCK MUERTO",Análisis!M53,""),"—")</f>
        <v/>
      </c>
      <c r="I133" s="71" t="str">
        <f aca="false">IFERROR(IF(Análisis!$K$53="🔴 STOCK MUERTO",Análisis!H53,""),"—")</f>
        <v/>
      </c>
      <c r="J133" s="67" t="str">
        <f aca="false">IFERROR(IF(Análisis!$K$53="🔴 STOCK MUERTO",Análisis!O53,""),"—")</f>
        <v/>
      </c>
    </row>
    <row r="134" customFormat="false" ht="15.75" hidden="false" customHeight="true" outlineLevel="0" collapsed="false">
      <c r="A134" s="67" t="str">
        <f aca="false">IFERROR(IF(Análisis!$K$54="🔴 STOCK MUERTO",Análisis!A54,""),"—")</f>
        <v/>
      </c>
      <c r="B134" s="68" t="str">
        <f aca="false">IFERROR(IF(Análisis!$K$54="🔴 STOCK MUERTO",Análisis!B54,""),"—")</f>
        <v/>
      </c>
      <c r="C134" s="67" t="str">
        <f aca="false">IFERROR(IF(Análisis!$K$54="🔴 STOCK MUERTO",Análisis!C54,""),"—")</f>
        <v/>
      </c>
      <c r="D134" s="67" t="str">
        <f aca="false">IFERROR(IF(Análisis!$K$54="🔴 STOCK MUERTO",Análisis!D54,""),"—")</f>
        <v/>
      </c>
      <c r="E134" s="69" t="str">
        <f aca="false">IFERROR(IF(Análisis!$K$54="🔴 STOCK MUERTO",Análisis!E54,""),"—")</f>
        <v/>
      </c>
      <c r="F134" s="70" t="str">
        <f aca="false">IFERROR(IF(Análisis!$K$54="🔴 STOCK MUERTO",Análisis!F54,""),"—")</f>
        <v/>
      </c>
      <c r="G134" s="67" t="str">
        <f aca="false">IFERROR(IF(Análisis!$K$54="🔴 STOCK MUERTO",Análisis!I54,""),"—")</f>
        <v/>
      </c>
      <c r="H134" s="67" t="str">
        <f aca="false">IFERROR(IF(Análisis!$K$54="🔴 STOCK MUERTO",Análisis!M54,""),"—")</f>
        <v/>
      </c>
      <c r="I134" s="71" t="str">
        <f aca="false">IFERROR(IF(Análisis!$K$54="🔴 STOCK MUERTO",Análisis!H54,""),"—")</f>
        <v/>
      </c>
      <c r="J134" s="67" t="str">
        <f aca="false">IFERROR(IF(Análisis!$K$54="🔴 STOCK MUERTO",Análisis!O54,""),"—")</f>
        <v/>
      </c>
    </row>
    <row r="135" customFormat="false" ht="15.75" hidden="false" customHeight="true" outlineLevel="0" collapsed="false">
      <c r="A135" s="67" t="str">
        <f aca="false">IFERROR(IF(Análisis!$K$55="🔴 STOCK MUERTO",Análisis!A55,""),"—")</f>
        <v>SKU-051</v>
      </c>
      <c r="B135" s="68" t="str">
        <f aca="false">IFERROR(IF(Análisis!$K$55="🔴 STOCK MUERTO",Análisis!B55,""),"—")</f>
        <v>Jabón de Tocador x3</v>
      </c>
      <c r="C135" s="67" t="str">
        <f aca="false">IFERROR(IF(Análisis!$K$55="🔴 STOCK MUERTO",Análisis!C55,""),"—")</f>
        <v>Higiene Personal</v>
      </c>
      <c r="D135" s="67" t="n">
        <f aca="false">IFERROR(IF(Análisis!$K$55="🔴 STOCK MUERTO",Análisis!D55,""),"—")</f>
        <v>848</v>
      </c>
      <c r="E135" s="69" t="n">
        <f aca="false">IFERROR(IF(Análisis!$K$55="🔴 STOCK MUERTO",Análisis!E55,""),"—")</f>
        <v>132.5</v>
      </c>
      <c r="F135" s="70" t="n">
        <f aca="false">IFERROR(IF(Análisis!$K$55="🔴 STOCK MUERTO",Análisis!F55,""),"—")</f>
        <v>192</v>
      </c>
      <c r="G135" s="67" t="n">
        <f aca="false">IFERROR(IF(Análisis!$K$55="🔴 STOCK MUERTO",Análisis!I55,""),"—")</f>
        <v>27</v>
      </c>
      <c r="H135" s="67" t="str">
        <f aca="false">IFERROR(IF(Análisis!$K$55="🔴 STOCK MUERTO",Análisis!M55,""),"—")</f>
        <v>B</v>
      </c>
      <c r="I135" s="71" t="n">
        <f aca="false">IFERROR(IF(Análisis!$K$55="🔴 STOCK MUERTO",Análisis!H55,""),"—")</f>
        <v>2713.6</v>
      </c>
      <c r="J135" s="67" t="str">
        <f aca="false">IFERROR(IF(Análisis!$K$55="🔴 STOCK MUERTO",Análisis!O55,""),"—")</f>
        <v>Reducir próxima compra</v>
      </c>
    </row>
    <row r="136" customFormat="false" ht="15.75" hidden="false" customHeight="true" outlineLevel="0" collapsed="false">
      <c r="A136" s="67" t="str">
        <f aca="false">IFERROR(IF(Análisis!$K$56="🔴 STOCK MUERTO",Análisis!A56,""),"—")</f>
        <v/>
      </c>
      <c r="B136" s="68" t="str">
        <f aca="false">IFERROR(IF(Análisis!$K$56="🔴 STOCK MUERTO",Análisis!B56,""),"—")</f>
        <v/>
      </c>
      <c r="C136" s="67" t="str">
        <f aca="false">IFERROR(IF(Análisis!$K$56="🔴 STOCK MUERTO",Análisis!C56,""),"—")</f>
        <v/>
      </c>
      <c r="D136" s="67" t="str">
        <f aca="false">IFERROR(IF(Análisis!$K$56="🔴 STOCK MUERTO",Análisis!D56,""),"—")</f>
        <v/>
      </c>
      <c r="E136" s="69" t="str">
        <f aca="false">IFERROR(IF(Análisis!$K$56="🔴 STOCK MUERTO",Análisis!E56,""),"—")</f>
        <v/>
      </c>
      <c r="F136" s="70" t="str">
        <f aca="false">IFERROR(IF(Análisis!$K$56="🔴 STOCK MUERTO",Análisis!F56,""),"—")</f>
        <v/>
      </c>
      <c r="G136" s="67" t="str">
        <f aca="false">IFERROR(IF(Análisis!$K$56="🔴 STOCK MUERTO",Análisis!I56,""),"—")</f>
        <v/>
      </c>
      <c r="H136" s="67" t="str">
        <f aca="false">IFERROR(IF(Análisis!$K$56="🔴 STOCK MUERTO",Análisis!M56,""),"—")</f>
        <v/>
      </c>
      <c r="I136" s="71" t="str">
        <f aca="false">IFERROR(IF(Análisis!$K$56="🔴 STOCK MUERTO",Análisis!H56,""),"—")</f>
        <v/>
      </c>
      <c r="J136" s="67" t="str">
        <f aca="false">IFERROR(IF(Análisis!$K$56="🔴 STOCK MUERTO",Análisis!O56,""),"—")</f>
        <v/>
      </c>
    </row>
    <row r="137" customFormat="false" ht="15.75" hidden="false" customHeight="true" outlineLevel="0" collapsed="false">
      <c r="A137" s="67" t="str">
        <f aca="false">IFERROR(IF(Análisis!$K$57="🔴 STOCK MUERTO",Análisis!A57,""),"—")</f>
        <v/>
      </c>
      <c r="B137" s="68" t="str">
        <f aca="false">IFERROR(IF(Análisis!$K$57="🔴 STOCK MUERTO",Análisis!B57,""),"—")</f>
        <v/>
      </c>
      <c r="C137" s="67" t="str">
        <f aca="false">IFERROR(IF(Análisis!$K$57="🔴 STOCK MUERTO",Análisis!C57,""),"—")</f>
        <v/>
      </c>
      <c r="D137" s="67" t="str">
        <f aca="false">IFERROR(IF(Análisis!$K$57="🔴 STOCK MUERTO",Análisis!D57,""),"—")</f>
        <v/>
      </c>
      <c r="E137" s="69" t="str">
        <f aca="false">IFERROR(IF(Análisis!$K$57="🔴 STOCK MUERTO",Análisis!E57,""),"—")</f>
        <v/>
      </c>
      <c r="F137" s="70" t="str">
        <f aca="false">IFERROR(IF(Análisis!$K$57="🔴 STOCK MUERTO",Análisis!F57,""),"—")</f>
        <v/>
      </c>
      <c r="G137" s="67" t="str">
        <f aca="false">IFERROR(IF(Análisis!$K$57="🔴 STOCK MUERTO",Análisis!I57,""),"—")</f>
        <v/>
      </c>
      <c r="H137" s="67" t="str">
        <f aca="false">IFERROR(IF(Análisis!$K$57="🔴 STOCK MUERTO",Análisis!M57,""),"—")</f>
        <v/>
      </c>
      <c r="I137" s="71" t="str">
        <f aca="false">IFERROR(IF(Análisis!$K$57="🔴 STOCK MUERTO",Análisis!H57,""),"—")</f>
        <v/>
      </c>
      <c r="J137" s="67" t="str">
        <f aca="false">IFERROR(IF(Análisis!$K$57="🔴 STOCK MUERTO",Análisis!O57,""),"—")</f>
        <v/>
      </c>
    </row>
    <row r="138" customFormat="false" ht="15.75" hidden="false" customHeight="true" outlineLevel="0" collapsed="false">
      <c r="A138" s="67" t="str">
        <f aca="false">IFERROR(IF(Análisis!$K$58="🔴 STOCK MUERTO",Análisis!A58,""),"—")</f>
        <v/>
      </c>
      <c r="B138" s="68" t="str">
        <f aca="false">IFERROR(IF(Análisis!$K$58="🔴 STOCK MUERTO",Análisis!B58,""),"—")</f>
        <v/>
      </c>
      <c r="C138" s="67" t="str">
        <f aca="false">IFERROR(IF(Análisis!$K$58="🔴 STOCK MUERTO",Análisis!C58,""),"—")</f>
        <v/>
      </c>
      <c r="D138" s="67" t="str">
        <f aca="false">IFERROR(IF(Análisis!$K$58="🔴 STOCK MUERTO",Análisis!D58,""),"—")</f>
        <v/>
      </c>
      <c r="E138" s="69" t="str">
        <f aca="false">IFERROR(IF(Análisis!$K$58="🔴 STOCK MUERTO",Análisis!E58,""),"—")</f>
        <v/>
      </c>
      <c r="F138" s="70" t="str">
        <f aca="false">IFERROR(IF(Análisis!$K$58="🔴 STOCK MUERTO",Análisis!F58,""),"—")</f>
        <v/>
      </c>
      <c r="G138" s="67" t="str">
        <f aca="false">IFERROR(IF(Análisis!$K$58="🔴 STOCK MUERTO",Análisis!I58,""),"—")</f>
        <v/>
      </c>
      <c r="H138" s="67" t="str">
        <f aca="false">IFERROR(IF(Análisis!$K$58="🔴 STOCK MUERTO",Análisis!M58,""),"—")</f>
        <v/>
      </c>
      <c r="I138" s="71" t="str">
        <f aca="false">IFERROR(IF(Análisis!$K$58="🔴 STOCK MUERTO",Análisis!H58,""),"—")</f>
        <v/>
      </c>
      <c r="J138" s="67" t="str">
        <f aca="false">IFERROR(IF(Análisis!$K$58="🔴 STOCK MUERTO",Análisis!O58,""),"—")</f>
        <v/>
      </c>
    </row>
    <row r="139" customFormat="false" ht="15.75" hidden="false" customHeight="true" outlineLevel="0" collapsed="false">
      <c r="A139" s="67" t="str">
        <f aca="false">IFERROR(IF(Análisis!$K$59="🔴 STOCK MUERTO",Análisis!A59,""),"—")</f>
        <v/>
      </c>
      <c r="B139" s="68" t="str">
        <f aca="false">IFERROR(IF(Análisis!$K$59="🔴 STOCK MUERTO",Análisis!B59,""),"—")</f>
        <v/>
      </c>
      <c r="C139" s="67" t="str">
        <f aca="false">IFERROR(IF(Análisis!$K$59="🔴 STOCK MUERTO",Análisis!C59,""),"—")</f>
        <v/>
      </c>
      <c r="D139" s="67" t="str">
        <f aca="false">IFERROR(IF(Análisis!$K$59="🔴 STOCK MUERTO",Análisis!D59,""),"—")</f>
        <v/>
      </c>
      <c r="E139" s="69" t="str">
        <f aca="false">IFERROR(IF(Análisis!$K$59="🔴 STOCK MUERTO",Análisis!E59,""),"—")</f>
        <v/>
      </c>
      <c r="F139" s="70" t="str">
        <f aca="false">IFERROR(IF(Análisis!$K$59="🔴 STOCK MUERTO",Análisis!F59,""),"—")</f>
        <v/>
      </c>
      <c r="G139" s="67" t="str">
        <f aca="false">IFERROR(IF(Análisis!$K$59="🔴 STOCK MUERTO",Análisis!I59,""),"—")</f>
        <v/>
      </c>
      <c r="H139" s="67" t="str">
        <f aca="false">IFERROR(IF(Análisis!$K$59="🔴 STOCK MUERTO",Análisis!M59,""),"—")</f>
        <v/>
      </c>
      <c r="I139" s="71" t="str">
        <f aca="false">IFERROR(IF(Análisis!$K$59="🔴 STOCK MUERTO",Análisis!H59,""),"—")</f>
        <v/>
      </c>
      <c r="J139" s="67" t="str">
        <f aca="false">IFERROR(IF(Análisis!$K$59="🔴 STOCK MUERTO",Análisis!O59,""),"—")</f>
        <v/>
      </c>
    </row>
    <row r="140" customFormat="false" ht="15.75" hidden="false" customHeight="true" outlineLevel="0" collapsed="false">
      <c r="A140" s="67" t="str">
        <f aca="false">IFERROR(IF(Análisis!$K$60="🔴 STOCK MUERTO",Análisis!A60,""),"—")</f>
        <v/>
      </c>
      <c r="B140" s="68" t="str">
        <f aca="false">IFERROR(IF(Análisis!$K$60="🔴 STOCK MUERTO",Análisis!B60,""),"—")</f>
        <v/>
      </c>
      <c r="C140" s="67" t="str">
        <f aca="false">IFERROR(IF(Análisis!$K$60="🔴 STOCK MUERTO",Análisis!C60,""),"—")</f>
        <v/>
      </c>
      <c r="D140" s="67" t="str">
        <f aca="false">IFERROR(IF(Análisis!$K$60="🔴 STOCK MUERTO",Análisis!D60,""),"—")</f>
        <v/>
      </c>
      <c r="E140" s="69" t="str">
        <f aca="false">IFERROR(IF(Análisis!$K$60="🔴 STOCK MUERTO",Análisis!E60,""),"—")</f>
        <v/>
      </c>
      <c r="F140" s="70" t="str">
        <f aca="false">IFERROR(IF(Análisis!$K$60="🔴 STOCK MUERTO",Análisis!F60,""),"—")</f>
        <v/>
      </c>
      <c r="G140" s="67" t="str">
        <f aca="false">IFERROR(IF(Análisis!$K$60="🔴 STOCK MUERTO",Análisis!I60,""),"—")</f>
        <v/>
      </c>
      <c r="H140" s="67" t="str">
        <f aca="false">IFERROR(IF(Análisis!$K$60="🔴 STOCK MUERTO",Análisis!M60,""),"—")</f>
        <v/>
      </c>
      <c r="I140" s="71" t="str">
        <f aca="false">IFERROR(IF(Análisis!$K$60="🔴 STOCK MUERTO",Análisis!H60,""),"—")</f>
        <v/>
      </c>
      <c r="J140" s="67" t="str">
        <f aca="false">IFERROR(IF(Análisis!$K$60="🔴 STOCK MUERTO",Análisis!O60,""),"—")</f>
        <v/>
      </c>
    </row>
    <row r="141" customFormat="false" ht="15.75" hidden="false" customHeight="true" outlineLevel="0" collapsed="false">
      <c r="A141" s="67" t="str">
        <f aca="false">IFERROR(IF(Análisis!$K$61="🔴 STOCK MUERTO",Análisis!A61,""),"—")</f>
        <v/>
      </c>
      <c r="B141" s="68" t="str">
        <f aca="false">IFERROR(IF(Análisis!$K$61="🔴 STOCK MUERTO",Análisis!B61,""),"—")</f>
        <v/>
      </c>
      <c r="C141" s="67" t="str">
        <f aca="false">IFERROR(IF(Análisis!$K$61="🔴 STOCK MUERTO",Análisis!C61,""),"—")</f>
        <v/>
      </c>
      <c r="D141" s="67" t="str">
        <f aca="false">IFERROR(IF(Análisis!$K$61="🔴 STOCK MUERTO",Análisis!D61,""),"—")</f>
        <v/>
      </c>
      <c r="E141" s="69" t="str">
        <f aca="false">IFERROR(IF(Análisis!$K$61="🔴 STOCK MUERTO",Análisis!E61,""),"—")</f>
        <v/>
      </c>
      <c r="F141" s="70" t="str">
        <f aca="false">IFERROR(IF(Análisis!$K$61="🔴 STOCK MUERTO",Análisis!F61,""),"—")</f>
        <v/>
      </c>
      <c r="G141" s="67" t="str">
        <f aca="false">IFERROR(IF(Análisis!$K$61="🔴 STOCK MUERTO",Análisis!I61,""),"—")</f>
        <v/>
      </c>
      <c r="H141" s="67" t="str">
        <f aca="false">IFERROR(IF(Análisis!$K$61="🔴 STOCK MUERTO",Análisis!M61,""),"—")</f>
        <v/>
      </c>
      <c r="I141" s="71" t="str">
        <f aca="false">IFERROR(IF(Análisis!$K$61="🔴 STOCK MUERTO",Análisis!H61,""),"—")</f>
        <v/>
      </c>
      <c r="J141" s="67" t="str">
        <f aca="false">IFERROR(IF(Análisis!$K$61="🔴 STOCK MUERTO",Análisis!O61,""),"—")</f>
        <v/>
      </c>
    </row>
    <row r="142" customFormat="false" ht="15.75" hidden="false" customHeight="true" outlineLevel="0" collapsed="false">
      <c r="A142" s="67" t="str">
        <f aca="false">IFERROR(IF(Análisis!$K$62="🔴 STOCK MUERTO",Análisis!A62,""),"—")</f>
        <v/>
      </c>
      <c r="B142" s="68" t="str">
        <f aca="false">IFERROR(IF(Análisis!$K$62="🔴 STOCK MUERTO",Análisis!B62,""),"—")</f>
        <v/>
      </c>
      <c r="C142" s="67" t="str">
        <f aca="false">IFERROR(IF(Análisis!$K$62="🔴 STOCK MUERTO",Análisis!C62,""),"—")</f>
        <v/>
      </c>
      <c r="D142" s="67" t="str">
        <f aca="false">IFERROR(IF(Análisis!$K$62="🔴 STOCK MUERTO",Análisis!D62,""),"—")</f>
        <v/>
      </c>
      <c r="E142" s="69" t="str">
        <f aca="false">IFERROR(IF(Análisis!$K$62="🔴 STOCK MUERTO",Análisis!E62,""),"—")</f>
        <v/>
      </c>
      <c r="F142" s="70" t="str">
        <f aca="false">IFERROR(IF(Análisis!$K$62="🔴 STOCK MUERTO",Análisis!F62,""),"—")</f>
        <v/>
      </c>
      <c r="G142" s="67" t="str">
        <f aca="false">IFERROR(IF(Análisis!$K$62="🔴 STOCK MUERTO",Análisis!I62,""),"—")</f>
        <v/>
      </c>
      <c r="H142" s="67" t="str">
        <f aca="false">IFERROR(IF(Análisis!$K$62="🔴 STOCK MUERTO",Análisis!M62,""),"—")</f>
        <v/>
      </c>
      <c r="I142" s="71" t="str">
        <f aca="false">IFERROR(IF(Análisis!$K$62="🔴 STOCK MUERTO",Análisis!H62,""),"—")</f>
        <v/>
      </c>
      <c r="J142" s="67" t="str">
        <f aca="false">IFERROR(IF(Análisis!$K$62="🔴 STOCK MUERTO",Análisis!O62,""),"—")</f>
        <v/>
      </c>
    </row>
    <row r="143" customFormat="false" ht="15.75" hidden="false" customHeight="true" outlineLevel="0" collapsed="false">
      <c r="A143" s="67" t="str">
        <f aca="false">IFERROR(IF(Análisis!$K$63="🔴 STOCK MUERTO",Análisis!A63,""),"—")</f>
        <v/>
      </c>
      <c r="B143" s="68" t="str">
        <f aca="false">IFERROR(IF(Análisis!$K$63="🔴 STOCK MUERTO",Análisis!B63,""),"—")</f>
        <v/>
      </c>
      <c r="C143" s="67" t="str">
        <f aca="false">IFERROR(IF(Análisis!$K$63="🔴 STOCK MUERTO",Análisis!C63,""),"—")</f>
        <v/>
      </c>
      <c r="D143" s="67" t="str">
        <f aca="false">IFERROR(IF(Análisis!$K$63="🔴 STOCK MUERTO",Análisis!D63,""),"—")</f>
        <v/>
      </c>
      <c r="E143" s="69" t="str">
        <f aca="false">IFERROR(IF(Análisis!$K$63="🔴 STOCK MUERTO",Análisis!E63,""),"—")</f>
        <v/>
      </c>
      <c r="F143" s="70" t="str">
        <f aca="false">IFERROR(IF(Análisis!$K$63="🔴 STOCK MUERTO",Análisis!F63,""),"—")</f>
        <v/>
      </c>
      <c r="G143" s="67" t="str">
        <f aca="false">IFERROR(IF(Análisis!$K$63="🔴 STOCK MUERTO",Análisis!I63,""),"—")</f>
        <v/>
      </c>
      <c r="H143" s="67" t="str">
        <f aca="false">IFERROR(IF(Análisis!$K$63="🔴 STOCK MUERTO",Análisis!M63,""),"—")</f>
        <v/>
      </c>
      <c r="I143" s="71" t="str">
        <f aca="false">IFERROR(IF(Análisis!$K$63="🔴 STOCK MUERTO",Análisis!H63,""),"—")</f>
        <v/>
      </c>
      <c r="J143" s="67" t="str">
        <f aca="false">IFERROR(IF(Análisis!$K$63="🔴 STOCK MUERTO",Análisis!O63,""),"—")</f>
        <v/>
      </c>
    </row>
    <row r="144" customFormat="false" ht="15.75" hidden="false" customHeight="true" outlineLevel="0" collapsed="false">
      <c r="A144" s="67" t="str">
        <f aca="false">IFERROR(IF(Análisis!$K$64="🔴 STOCK MUERTO",Análisis!A64,""),"—")</f>
        <v/>
      </c>
      <c r="B144" s="68" t="str">
        <f aca="false">IFERROR(IF(Análisis!$K$64="🔴 STOCK MUERTO",Análisis!B64,""),"—")</f>
        <v/>
      </c>
      <c r="C144" s="67" t="str">
        <f aca="false">IFERROR(IF(Análisis!$K$64="🔴 STOCK MUERTO",Análisis!C64,""),"—")</f>
        <v/>
      </c>
      <c r="D144" s="67" t="str">
        <f aca="false">IFERROR(IF(Análisis!$K$64="🔴 STOCK MUERTO",Análisis!D64,""),"—")</f>
        <v/>
      </c>
      <c r="E144" s="69" t="str">
        <f aca="false">IFERROR(IF(Análisis!$K$64="🔴 STOCK MUERTO",Análisis!E64,""),"—")</f>
        <v/>
      </c>
      <c r="F144" s="70" t="str">
        <f aca="false">IFERROR(IF(Análisis!$K$64="🔴 STOCK MUERTO",Análisis!F64,""),"—")</f>
        <v/>
      </c>
      <c r="G144" s="67" t="str">
        <f aca="false">IFERROR(IF(Análisis!$K$64="🔴 STOCK MUERTO",Análisis!I64,""),"—")</f>
        <v/>
      </c>
      <c r="H144" s="67" t="str">
        <f aca="false">IFERROR(IF(Análisis!$K$64="🔴 STOCK MUERTO",Análisis!M64,""),"—")</f>
        <v/>
      </c>
      <c r="I144" s="71" t="str">
        <f aca="false">IFERROR(IF(Análisis!$K$64="🔴 STOCK MUERTO",Análisis!H64,""),"—")</f>
        <v/>
      </c>
      <c r="J144" s="67" t="str">
        <f aca="false">IFERROR(IF(Análisis!$K$64="🔴 STOCK MUERTO",Análisis!O64,""),"—")</f>
        <v/>
      </c>
    </row>
    <row r="145" customFormat="false" ht="15.75" hidden="false" customHeight="true" outlineLevel="0" collapsed="false">
      <c r="A145" s="67" t="str">
        <f aca="false">IFERROR(IF(Análisis!$K$65="🔴 STOCK MUERTO",Análisis!A65,""),"—")</f>
        <v>SKU-061</v>
      </c>
      <c r="B145" s="68" t="str">
        <f aca="false">IFERROR(IF(Análisis!$K$65="🔴 STOCK MUERTO",Análisis!B65,""),"—")</f>
        <v>Crema de Manos 100ml</v>
      </c>
      <c r="C145" s="67" t="str">
        <f aca="false">IFERROR(IF(Análisis!$K$65="🔴 STOCK MUERTO",Análisis!C65,""),"—")</f>
        <v>Higiene Personal</v>
      </c>
      <c r="D145" s="67" t="n">
        <f aca="false">IFERROR(IF(Análisis!$K$65="🔴 STOCK MUERTO",Análisis!D65,""),"—")</f>
        <v>205</v>
      </c>
      <c r="E145" s="69" t="n">
        <f aca="false">IFERROR(IF(Análisis!$K$65="🔴 STOCK MUERTO",Análisis!E65,""),"—")</f>
        <v>1.5</v>
      </c>
      <c r="F145" s="70" t="n">
        <f aca="false">IFERROR(IF(Análisis!$K$65="🔴 STOCK MUERTO",Análisis!F65,""),"—")</f>
        <v>4100</v>
      </c>
      <c r="G145" s="67" t="n">
        <f aca="false">IFERROR(IF(Análisis!$K$65="🔴 STOCK MUERTO",Análisis!I65,""),"—")</f>
        <v>5</v>
      </c>
      <c r="H145" s="67" t="str">
        <f aca="false">IFERROR(IF(Análisis!$K$65="🔴 STOCK MUERTO",Análisis!M65,""),"—")</f>
        <v>C</v>
      </c>
      <c r="I145" s="71" t="n">
        <f aca="false">IFERROR(IF(Análisis!$K$65="🔴 STOCK MUERTO",Análisis!H65,""),"—")</f>
        <v>779</v>
      </c>
      <c r="J145" s="67" t="str">
        <f aca="false">IFERROR(IF(Análisis!$K$65="🔴 STOCK MUERTO",Análisis!O65,""),"—")</f>
        <v>LIQUIDAR / DEVOLVER</v>
      </c>
    </row>
    <row r="146" customFormat="false" ht="15.75" hidden="false" customHeight="true" outlineLevel="0" collapsed="false">
      <c r="A146" s="67" t="str">
        <f aca="false">IFERROR(IF(Análisis!$K$66="🔴 STOCK MUERTO",Análisis!A66,""),"—")</f>
        <v/>
      </c>
      <c r="B146" s="68" t="str">
        <f aca="false">IFERROR(IF(Análisis!$K$66="🔴 STOCK MUERTO",Análisis!B66,""),"—")</f>
        <v/>
      </c>
      <c r="C146" s="67" t="str">
        <f aca="false">IFERROR(IF(Análisis!$K$66="🔴 STOCK MUERTO",Análisis!C66,""),"—")</f>
        <v/>
      </c>
      <c r="D146" s="67" t="str">
        <f aca="false">IFERROR(IF(Análisis!$K$66="🔴 STOCK MUERTO",Análisis!D66,""),"—")</f>
        <v/>
      </c>
      <c r="E146" s="69" t="str">
        <f aca="false">IFERROR(IF(Análisis!$K$66="🔴 STOCK MUERTO",Análisis!E66,""),"—")</f>
        <v/>
      </c>
      <c r="F146" s="70" t="str">
        <f aca="false">IFERROR(IF(Análisis!$K$66="🔴 STOCK MUERTO",Análisis!F66,""),"—")</f>
        <v/>
      </c>
      <c r="G146" s="67" t="str">
        <f aca="false">IFERROR(IF(Análisis!$K$66="🔴 STOCK MUERTO",Análisis!I66,""),"—")</f>
        <v/>
      </c>
      <c r="H146" s="67" t="str">
        <f aca="false">IFERROR(IF(Análisis!$K$66="🔴 STOCK MUERTO",Análisis!M66,""),"—")</f>
        <v/>
      </c>
      <c r="I146" s="71" t="str">
        <f aca="false">IFERROR(IF(Análisis!$K$66="🔴 STOCK MUERTO",Análisis!H66,""),"—")</f>
        <v/>
      </c>
      <c r="J146" s="67" t="str">
        <f aca="false">IFERROR(IF(Análisis!$K$66="🔴 STOCK MUERTO",Análisis!O66,""),"—")</f>
        <v/>
      </c>
    </row>
    <row r="147" customFormat="false" ht="15.75" hidden="false" customHeight="true" outlineLevel="0" collapsed="false">
      <c r="A147" s="67" t="str">
        <f aca="false">IFERROR(IF(Análisis!$K$67="🔴 STOCK MUERTO",Análisis!A67,""),"—")</f>
        <v/>
      </c>
      <c r="B147" s="68" t="str">
        <f aca="false">IFERROR(IF(Análisis!$K$67="🔴 STOCK MUERTO",Análisis!B67,""),"—")</f>
        <v/>
      </c>
      <c r="C147" s="67" t="str">
        <f aca="false">IFERROR(IF(Análisis!$K$67="🔴 STOCK MUERTO",Análisis!C67,""),"—")</f>
        <v/>
      </c>
      <c r="D147" s="67" t="str">
        <f aca="false">IFERROR(IF(Análisis!$K$67="🔴 STOCK MUERTO",Análisis!D67,""),"—")</f>
        <v/>
      </c>
      <c r="E147" s="69" t="str">
        <f aca="false">IFERROR(IF(Análisis!$K$67="🔴 STOCK MUERTO",Análisis!E67,""),"—")</f>
        <v/>
      </c>
      <c r="F147" s="70" t="str">
        <f aca="false">IFERROR(IF(Análisis!$K$67="🔴 STOCK MUERTO",Análisis!F67,""),"—")</f>
        <v/>
      </c>
      <c r="G147" s="67" t="str">
        <f aca="false">IFERROR(IF(Análisis!$K$67="🔴 STOCK MUERTO",Análisis!I67,""),"—")</f>
        <v/>
      </c>
      <c r="H147" s="67" t="str">
        <f aca="false">IFERROR(IF(Análisis!$K$67="🔴 STOCK MUERTO",Análisis!M67,""),"—")</f>
        <v/>
      </c>
      <c r="I147" s="71" t="str">
        <f aca="false">IFERROR(IF(Análisis!$K$67="🔴 STOCK MUERTO",Análisis!H67,""),"—")</f>
        <v/>
      </c>
      <c r="J147" s="67" t="str">
        <f aca="false">IFERROR(IF(Análisis!$K$67="🔴 STOCK MUERTO",Análisis!O67,""),"—")</f>
        <v/>
      </c>
    </row>
    <row r="148" customFormat="false" ht="15.75" hidden="false" customHeight="true" outlineLevel="0" collapsed="false">
      <c r="A148" s="67" t="str">
        <f aca="false">IFERROR(IF(Análisis!$K$68="🔴 STOCK MUERTO",Análisis!A68,""),"—")</f>
        <v/>
      </c>
      <c r="B148" s="68" t="str">
        <f aca="false">IFERROR(IF(Análisis!$K$68="🔴 STOCK MUERTO",Análisis!B68,""),"—")</f>
        <v/>
      </c>
      <c r="C148" s="67" t="str">
        <f aca="false">IFERROR(IF(Análisis!$K$68="🔴 STOCK MUERTO",Análisis!C68,""),"—")</f>
        <v/>
      </c>
      <c r="D148" s="67" t="str">
        <f aca="false">IFERROR(IF(Análisis!$K$68="🔴 STOCK MUERTO",Análisis!D68,""),"—")</f>
        <v/>
      </c>
      <c r="E148" s="69" t="str">
        <f aca="false">IFERROR(IF(Análisis!$K$68="🔴 STOCK MUERTO",Análisis!E68,""),"—")</f>
        <v/>
      </c>
      <c r="F148" s="70" t="str">
        <f aca="false">IFERROR(IF(Análisis!$K$68="🔴 STOCK MUERTO",Análisis!F68,""),"—")</f>
        <v/>
      </c>
      <c r="G148" s="67" t="str">
        <f aca="false">IFERROR(IF(Análisis!$K$68="🔴 STOCK MUERTO",Análisis!I68,""),"—")</f>
        <v/>
      </c>
      <c r="H148" s="67" t="str">
        <f aca="false">IFERROR(IF(Análisis!$K$68="🔴 STOCK MUERTO",Análisis!M68,""),"—")</f>
        <v/>
      </c>
      <c r="I148" s="71" t="str">
        <f aca="false">IFERROR(IF(Análisis!$K$68="🔴 STOCK MUERTO",Análisis!H68,""),"—")</f>
        <v/>
      </c>
      <c r="J148" s="67" t="str">
        <f aca="false">IFERROR(IF(Análisis!$K$68="🔴 STOCK MUERTO",Análisis!O68,""),"—")</f>
        <v/>
      </c>
    </row>
    <row r="149" customFormat="false" ht="15.75" hidden="false" customHeight="true" outlineLevel="0" collapsed="false">
      <c r="A149" s="67" t="str">
        <f aca="false">IFERROR(IF(Análisis!$K$69="🔴 STOCK MUERTO",Análisis!A69,""),"—")</f>
        <v/>
      </c>
      <c r="B149" s="68" t="str">
        <f aca="false">IFERROR(IF(Análisis!$K$69="🔴 STOCK MUERTO",Análisis!B69,""),"—")</f>
        <v/>
      </c>
      <c r="C149" s="67" t="str">
        <f aca="false">IFERROR(IF(Análisis!$K$69="🔴 STOCK MUERTO",Análisis!C69,""),"—")</f>
        <v/>
      </c>
      <c r="D149" s="67" t="str">
        <f aca="false">IFERROR(IF(Análisis!$K$69="🔴 STOCK MUERTO",Análisis!D69,""),"—")</f>
        <v/>
      </c>
      <c r="E149" s="69" t="str">
        <f aca="false">IFERROR(IF(Análisis!$K$69="🔴 STOCK MUERTO",Análisis!E69,""),"—")</f>
        <v/>
      </c>
      <c r="F149" s="70" t="str">
        <f aca="false">IFERROR(IF(Análisis!$K$69="🔴 STOCK MUERTO",Análisis!F69,""),"—")</f>
        <v/>
      </c>
      <c r="G149" s="67" t="str">
        <f aca="false">IFERROR(IF(Análisis!$K$69="🔴 STOCK MUERTO",Análisis!I69,""),"—")</f>
        <v/>
      </c>
      <c r="H149" s="67" t="str">
        <f aca="false">IFERROR(IF(Análisis!$K$69="🔴 STOCK MUERTO",Análisis!M69,""),"—")</f>
        <v/>
      </c>
      <c r="I149" s="71" t="str">
        <f aca="false">IFERROR(IF(Análisis!$K$69="🔴 STOCK MUERTO",Análisis!H69,""),"—")</f>
        <v/>
      </c>
      <c r="J149" s="67" t="str">
        <f aca="false">IFERROR(IF(Análisis!$K$69="🔴 STOCK MUERTO",Análisis!O69,""),"—")</f>
        <v/>
      </c>
    </row>
    <row r="150" customFormat="false" ht="15.75" hidden="false" customHeight="true" outlineLevel="0" collapsed="false">
      <c r="A150" s="67" t="str">
        <f aca="false">IFERROR(IF(Análisis!$K$70="🔴 STOCK MUERTO",Análisis!A70,""),"—")</f>
        <v/>
      </c>
      <c r="B150" s="68" t="str">
        <f aca="false">IFERROR(IF(Análisis!$K$70="🔴 STOCK MUERTO",Análisis!B70,""),"—")</f>
        <v/>
      </c>
      <c r="C150" s="67" t="str">
        <f aca="false">IFERROR(IF(Análisis!$K$70="🔴 STOCK MUERTO",Análisis!C70,""),"—")</f>
        <v/>
      </c>
      <c r="D150" s="67" t="str">
        <f aca="false">IFERROR(IF(Análisis!$K$70="🔴 STOCK MUERTO",Análisis!D70,""),"—")</f>
        <v/>
      </c>
      <c r="E150" s="69" t="str">
        <f aca="false">IFERROR(IF(Análisis!$K$70="🔴 STOCK MUERTO",Análisis!E70,""),"—")</f>
        <v/>
      </c>
      <c r="F150" s="70" t="str">
        <f aca="false">IFERROR(IF(Análisis!$K$70="🔴 STOCK MUERTO",Análisis!F70,""),"—")</f>
        <v/>
      </c>
      <c r="G150" s="67" t="str">
        <f aca="false">IFERROR(IF(Análisis!$K$70="🔴 STOCK MUERTO",Análisis!I70,""),"—")</f>
        <v/>
      </c>
      <c r="H150" s="67" t="str">
        <f aca="false">IFERROR(IF(Análisis!$K$70="🔴 STOCK MUERTO",Análisis!M70,""),"—")</f>
        <v/>
      </c>
      <c r="I150" s="71" t="str">
        <f aca="false">IFERROR(IF(Análisis!$K$70="🔴 STOCK MUERTO",Análisis!H70,""),"—")</f>
        <v/>
      </c>
      <c r="J150" s="67" t="str">
        <f aca="false">IFERROR(IF(Análisis!$K$70="🔴 STOCK MUERTO",Análisis!O70,""),"—")</f>
        <v/>
      </c>
    </row>
    <row r="151" customFormat="false" ht="15.75" hidden="false" customHeight="true" outlineLevel="0" collapsed="false">
      <c r="A151" s="67" t="str">
        <f aca="false">IFERROR(IF(Análisis!$K$71="🔴 STOCK MUERTO",Análisis!A71,""),"—")</f>
        <v/>
      </c>
      <c r="B151" s="68" t="str">
        <f aca="false">IFERROR(IF(Análisis!$K$71="🔴 STOCK MUERTO",Análisis!B71,""),"—")</f>
        <v/>
      </c>
      <c r="C151" s="67" t="str">
        <f aca="false">IFERROR(IF(Análisis!$K$71="🔴 STOCK MUERTO",Análisis!C71,""),"—")</f>
        <v/>
      </c>
      <c r="D151" s="67" t="str">
        <f aca="false">IFERROR(IF(Análisis!$K$71="🔴 STOCK MUERTO",Análisis!D71,""),"—")</f>
        <v/>
      </c>
      <c r="E151" s="69" t="str">
        <f aca="false">IFERROR(IF(Análisis!$K$71="🔴 STOCK MUERTO",Análisis!E71,""),"—")</f>
        <v/>
      </c>
      <c r="F151" s="70" t="str">
        <f aca="false">IFERROR(IF(Análisis!$K$71="🔴 STOCK MUERTO",Análisis!F71,""),"—")</f>
        <v/>
      </c>
      <c r="G151" s="67" t="str">
        <f aca="false">IFERROR(IF(Análisis!$K$71="🔴 STOCK MUERTO",Análisis!I71,""),"—")</f>
        <v/>
      </c>
      <c r="H151" s="67" t="str">
        <f aca="false">IFERROR(IF(Análisis!$K$71="🔴 STOCK MUERTO",Análisis!M71,""),"—")</f>
        <v/>
      </c>
      <c r="I151" s="71" t="str">
        <f aca="false">IFERROR(IF(Análisis!$K$71="🔴 STOCK MUERTO",Análisis!H71,""),"—")</f>
        <v/>
      </c>
      <c r="J151" s="67" t="str">
        <f aca="false">IFERROR(IF(Análisis!$K$71="🔴 STOCK MUERTO",Análisis!O71,""),"—")</f>
        <v/>
      </c>
    </row>
    <row r="152" customFormat="false" ht="15.75" hidden="false" customHeight="true" outlineLevel="0" collapsed="false">
      <c r="A152" s="67" t="str">
        <f aca="false">IFERROR(IF(Análisis!$K$72="🔴 STOCK MUERTO",Análisis!A72,""),"—")</f>
        <v/>
      </c>
      <c r="B152" s="68" t="str">
        <f aca="false">IFERROR(IF(Análisis!$K$72="🔴 STOCK MUERTO",Análisis!B72,""),"—")</f>
        <v/>
      </c>
      <c r="C152" s="67" t="str">
        <f aca="false">IFERROR(IF(Análisis!$K$72="🔴 STOCK MUERTO",Análisis!C72,""),"—")</f>
        <v/>
      </c>
      <c r="D152" s="67" t="str">
        <f aca="false">IFERROR(IF(Análisis!$K$72="🔴 STOCK MUERTO",Análisis!D72,""),"—")</f>
        <v/>
      </c>
      <c r="E152" s="69" t="str">
        <f aca="false">IFERROR(IF(Análisis!$K$72="🔴 STOCK MUERTO",Análisis!E72,""),"—")</f>
        <v/>
      </c>
      <c r="F152" s="70" t="str">
        <f aca="false">IFERROR(IF(Análisis!$K$72="🔴 STOCK MUERTO",Análisis!F72,""),"—")</f>
        <v/>
      </c>
      <c r="G152" s="67" t="str">
        <f aca="false">IFERROR(IF(Análisis!$K$72="🔴 STOCK MUERTO",Análisis!I72,""),"—")</f>
        <v/>
      </c>
      <c r="H152" s="67" t="str">
        <f aca="false">IFERROR(IF(Análisis!$K$72="🔴 STOCK MUERTO",Análisis!M72,""),"—")</f>
        <v/>
      </c>
      <c r="I152" s="71" t="str">
        <f aca="false">IFERROR(IF(Análisis!$K$72="🔴 STOCK MUERTO",Análisis!H72,""),"—")</f>
        <v/>
      </c>
      <c r="J152" s="67" t="str">
        <f aca="false">IFERROR(IF(Análisis!$K$72="🔴 STOCK MUERTO",Análisis!O72,""),"—")</f>
        <v/>
      </c>
    </row>
    <row r="153" customFormat="false" ht="15.75" hidden="false" customHeight="true" outlineLevel="0" collapsed="false">
      <c r="A153" s="67" t="str">
        <f aca="false">IFERROR(IF(Análisis!$K$73="🔴 STOCK MUERTO",Análisis!A73,""),"—")</f>
        <v/>
      </c>
      <c r="B153" s="68" t="str">
        <f aca="false">IFERROR(IF(Análisis!$K$73="🔴 STOCK MUERTO",Análisis!B73,""),"—")</f>
        <v/>
      </c>
      <c r="C153" s="67" t="str">
        <f aca="false">IFERROR(IF(Análisis!$K$73="🔴 STOCK MUERTO",Análisis!C73,""),"—")</f>
        <v/>
      </c>
      <c r="D153" s="67" t="str">
        <f aca="false">IFERROR(IF(Análisis!$K$73="🔴 STOCK MUERTO",Análisis!D73,""),"—")</f>
        <v/>
      </c>
      <c r="E153" s="69" t="str">
        <f aca="false">IFERROR(IF(Análisis!$K$73="🔴 STOCK MUERTO",Análisis!E73,""),"—")</f>
        <v/>
      </c>
      <c r="F153" s="70" t="str">
        <f aca="false">IFERROR(IF(Análisis!$K$73="🔴 STOCK MUERTO",Análisis!F73,""),"—")</f>
        <v/>
      </c>
      <c r="G153" s="67" t="str">
        <f aca="false">IFERROR(IF(Análisis!$K$73="🔴 STOCK MUERTO",Análisis!I73,""),"—")</f>
        <v/>
      </c>
      <c r="H153" s="67" t="str">
        <f aca="false">IFERROR(IF(Análisis!$K$73="🔴 STOCK MUERTO",Análisis!M73,""),"—")</f>
        <v/>
      </c>
      <c r="I153" s="71" t="str">
        <f aca="false">IFERROR(IF(Análisis!$K$73="🔴 STOCK MUERTO",Análisis!H73,""),"—")</f>
        <v/>
      </c>
      <c r="J153" s="67" t="str">
        <f aca="false">IFERROR(IF(Análisis!$K$73="🔴 STOCK MUERTO",Análisis!O73,""),"—")</f>
        <v/>
      </c>
    </row>
    <row r="154" customFormat="false" ht="15.75" hidden="false" customHeight="true" outlineLevel="0" collapsed="false">
      <c r="A154" s="67" t="str">
        <f aca="false">IFERROR(IF(Análisis!$K$74="🔴 STOCK MUERTO",Análisis!A74,""),"—")</f>
        <v/>
      </c>
      <c r="B154" s="68" t="str">
        <f aca="false">IFERROR(IF(Análisis!$K$74="🔴 STOCK MUERTO",Análisis!B74,""),"—")</f>
        <v/>
      </c>
      <c r="C154" s="67" t="str">
        <f aca="false">IFERROR(IF(Análisis!$K$74="🔴 STOCK MUERTO",Análisis!C74,""),"—")</f>
        <v/>
      </c>
      <c r="D154" s="67" t="str">
        <f aca="false">IFERROR(IF(Análisis!$K$74="🔴 STOCK MUERTO",Análisis!D74,""),"—")</f>
        <v/>
      </c>
      <c r="E154" s="69" t="str">
        <f aca="false">IFERROR(IF(Análisis!$K$74="🔴 STOCK MUERTO",Análisis!E74,""),"—")</f>
        <v/>
      </c>
      <c r="F154" s="70" t="str">
        <f aca="false">IFERROR(IF(Análisis!$K$74="🔴 STOCK MUERTO",Análisis!F74,""),"—")</f>
        <v/>
      </c>
      <c r="G154" s="67" t="str">
        <f aca="false">IFERROR(IF(Análisis!$K$74="🔴 STOCK MUERTO",Análisis!I74,""),"—")</f>
        <v/>
      </c>
      <c r="H154" s="67" t="str">
        <f aca="false">IFERROR(IF(Análisis!$K$74="🔴 STOCK MUERTO",Análisis!M74,""),"—")</f>
        <v/>
      </c>
      <c r="I154" s="71" t="str">
        <f aca="false">IFERROR(IF(Análisis!$K$74="🔴 STOCK MUERTO",Análisis!H74,""),"—")</f>
        <v/>
      </c>
      <c r="J154" s="67" t="str">
        <f aca="false">IFERROR(IF(Análisis!$K$74="🔴 STOCK MUERTO",Análisis!O74,""),"—")</f>
        <v/>
      </c>
    </row>
    <row r="155" customFormat="false" ht="15.75" hidden="false" customHeight="true" outlineLevel="0" collapsed="false">
      <c r="A155" s="67" t="str">
        <f aca="false">IFERROR(IF(Análisis!$K$75="🔴 STOCK MUERTO",Análisis!A75,""),"—")</f>
        <v/>
      </c>
      <c r="B155" s="68" t="str">
        <f aca="false">IFERROR(IF(Análisis!$K$75="🔴 STOCK MUERTO",Análisis!B75,""),"—")</f>
        <v/>
      </c>
      <c r="C155" s="67" t="str">
        <f aca="false">IFERROR(IF(Análisis!$K$75="🔴 STOCK MUERTO",Análisis!C75,""),"—")</f>
        <v/>
      </c>
      <c r="D155" s="67" t="str">
        <f aca="false">IFERROR(IF(Análisis!$K$75="🔴 STOCK MUERTO",Análisis!D75,""),"—")</f>
        <v/>
      </c>
      <c r="E155" s="69" t="str">
        <f aca="false">IFERROR(IF(Análisis!$K$75="🔴 STOCK MUERTO",Análisis!E75,""),"—")</f>
        <v/>
      </c>
      <c r="F155" s="70" t="str">
        <f aca="false">IFERROR(IF(Análisis!$K$75="🔴 STOCK MUERTO",Análisis!F75,""),"—")</f>
        <v/>
      </c>
      <c r="G155" s="67" t="str">
        <f aca="false">IFERROR(IF(Análisis!$K$75="🔴 STOCK MUERTO",Análisis!I75,""),"—")</f>
        <v/>
      </c>
      <c r="H155" s="67" t="str">
        <f aca="false">IFERROR(IF(Análisis!$K$75="🔴 STOCK MUERTO",Análisis!M75,""),"—")</f>
        <v/>
      </c>
      <c r="I155" s="71" t="str">
        <f aca="false">IFERROR(IF(Análisis!$K$75="🔴 STOCK MUERTO",Análisis!H75,""),"—")</f>
        <v/>
      </c>
      <c r="J155" s="67" t="str">
        <f aca="false">IFERROR(IF(Análisis!$K$75="🔴 STOCK MUERTO",Análisis!O75,""),"—")</f>
        <v/>
      </c>
    </row>
    <row r="156" customFormat="false" ht="15.75" hidden="false" customHeight="true" outlineLevel="0" collapsed="false">
      <c r="A156" s="67" t="str">
        <f aca="false">IFERROR(IF(Análisis!$K$76="🔴 STOCK MUERTO",Análisis!A76,""),"—")</f>
        <v/>
      </c>
      <c r="B156" s="68" t="str">
        <f aca="false">IFERROR(IF(Análisis!$K$76="🔴 STOCK MUERTO",Análisis!B76,""),"—")</f>
        <v/>
      </c>
      <c r="C156" s="67" t="str">
        <f aca="false">IFERROR(IF(Análisis!$K$76="🔴 STOCK MUERTO",Análisis!C76,""),"—")</f>
        <v/>
      </c>
      <c r="D156" s="67" t="str">
        <f aca="false">IFERROR(IF(Análisis!$K$76="🔴 STOCK MUERTO",Análisis!D76,""),"—")</f>
        <v/>
      </c>
      <c r="E156" s="69" t="str">
        <f aca="false">IFERROR(IF(Análisis!$K$76="🔴 STOCK MUERTO",Análisis!E76,""),"—")</f>
        <v/>
      </c>
      <c r="F156" s="70" t="str">
        <f aca="false">IFERROR(IF(Análisis!$K$76="🔴 STOCK MUERTO",Análisis!F76,""),"—")</f>
        <v/>
      </c>
      <c r="G156" s="67" t="str">
        <f aca="false">IFERROR(IF(Análisis!$K$76="🔴 STOCK MUERTO",Análisis!I76,""),"—")</f>
        <v/>
      </c>
      <c r="H156" s="67" t="str">
        <f aca="false">IFERROR(IF(Análisis!$K$76="🔴 STOCK MUERTO",Análisis!M76,""),"—")</f>
        <v/>
      </c>
      <c r="I156" s="71" t="str">
        <f aca="false">IFERROR(IF(Análisis!$K$76="🔴 STOCK MUERTO",Análisis!H76,""),"—")</f>
        <v/>
      </c>
      <c r="J156" s="67" t="str">
        <f aca="false">IFERROR(IF(Análisis!$K$76="🔴 STOCK MUERTO",Análisis!O76,""),"—")</f>
        <v/>
      </c>
    </row>
    <row r="157" customFormat="false" ht="15.75" hidden="false" customHeight="true" outlineLevel="0" collapsed="false">
      <c r="A157" s="67" t="str">
        <f aca="false">IFERROR(IF(Análisis!$K$77="🔴 STOCK MUERTO",Análisis!A77,""),"—")</f>
        <v/>
      </c>
      <c r="B157" s="68" t="str">
        <f aca="false">IFERROR(IF(Análisis!$K$77="🔴 STOCK MUERTO",Análisis!B77,""),"—")</f>
        <v/>
      </c>
      <c r="C157" s="67" t="str">
        <f aca="false">IFERROR(IF(Análisis!$K$77="🔴 STOCK MUERTO",Análisis!C77,""),"—")</f>
        <v/>
      </c>
      <c r="D157" s="67" t="str">
        <f aca="false">IFERROR(IF(Análisis!$K$77="🔴 STOCK MUERTO",Análisis!D77,""),"—")</f>
        <v/>
      </c>
      <c r="E157" s="69" t="str">
        <f aca="false">IFERROR(IF(Análisis!$K$77="🔴 STOCK MUERTO",Análisis!E77,""),"—")</f>
        <v/>
      </c>
      <c r="F157" s="70" t="str">
        <f aca="false">IFERROR(IF(Análisis!$K$77="🔴 STOCK MUERTO",Análisis!F77,""),"—")</f>
        <v/>
      </c>
      <c r="G157" s="67" t="str">
        <f aca="false">IFERROR(IF(Análisis!$K$77="🔴 STOCK MUERTO",Análisis!I77,""),"—")</f>
        <v/>
      </c>
      <c r="H157" s="67" t="str">
        <f aca="false">IFERROR(IF(Análisis!$K$77="🔴 STOCK MUERTO",Análisis!M77,""),"—")</f>
        <v/>
      </c>
      <c r="I157" s="71" t="str">
        <f aca="false">IFERROR(IF(Análisis!$K$77="🔴 STOCK MUERTO",Análisis!H77,""),"—")</f>
        <v/>
      </c>
      <c r="J157" s="67" t="str">
        <f aca="false">IFERROR(IF(Análisis!$K$77="🔴 STOCK MUERTO",Análisis!O77,""),"—")</f>
        <v/>
      </c>
    </row>
    <row r="158" customFormat="false" ht="15.75" hidden="false" customHeight="true" outlineLevel="0" collapsed="false">
      <c r="A158" s="67" t="str">
        <f aca="false">IFERROR(IF(Análisis!$K$78="🔴 STOCK MUERTO",Análisis!A78,""),"—")</f>
        <v/>
      </c>
      <c r="B158" s="68" t="str">
        <f aca="false">IFERROR(IF(Análisis!$K$78="🔴 STOCK MUERTO",Análisis!B78,""),"—")</f>
        <v/>
      </c>
      <c r="C158" s="67" t="str">
        <f aca="false">IFERROR(IF(Análisis!$K$78="🔴 STOCK MUERTO",Análisis!C78,""),"—")</f>
        <v/>
      </c>
      <c r="D158" s="67" t="str">
        <f aca="false">IFERROR(IF(Análisis!$K$78="🔴 STOCK MUERTO",Análisis!D78,""),"—")</f>
        <v/>
      </c>
      <c r="E158" s="69" t="str">
        <f aca="false">IFERROR(IF(Análisis!$K$78="🔴 STOCK MUERTO",Análisis!E78,""),"—")</f>
        <v/>
      </c>
      <c r="F158" s="70" t="str">
        <f aca="false">IFERROR(IF(Análisis!$K$78="🔴 STOCK MUERTO",Análisis!F78,""),"—")</f>
        <v/>
      </c>
      <c r="G158" s="67" t="str">
        <f aca="false">IFERROR(IF(Análisis!$K$78="🔴 STOCK MUERTO",Análisis!I78,""),"—")</f>
        <v/>
      </c>
      <c r="H158" s="67" t="str">
        <f aca="false">IFERROR(IF(Análisis!$K$78="🔴 STOCK MUERTO",Análisis!M78,""),"—")</f>
        <v/>
      </c>
      <c r="I158" s="71" t="str">
        <f aca="false">IFERROR(IF(Análisis!$K$78="🔴 STOCK MUERTO",Análisis!H78,""),"—")</f>
        <v/>
      </c>
      <c r="J158" s="67" t="str">
        <f aca="false">IFERROR(IF(Análisis!$K$78="🔴 STOCK MUERTO",Análisis!O78,""),"—")</f>
        <v/>
      </c>
    </row>
    <row r="159" customFormat="false" ht="15.75" hidden="false" customHeight="true" outlineLevel="0" collapsed="false">
      <c r="A159" s="67" t="str">
        <f aca="false">IFERROR(IF(Análisis!$K$79="🔴 STOCK MUERTO",Análisis!A79,""),"—")</f>
        <v>SKU-075</v>
      </c>
      <c r="B159" s="68" t="str">
        <f aca="false">IFERROR(IF(Análisis!$K$79="🔴 STOCK MUERTO",Análisis!B79,""),"—")</f>
        <v>Repuestos Maquinilla x4</v>
      </c>
      <c r="C159" s="67" t="str">
        <f aca="false">IFERROR(IF(Análisis!$K$79="🔴 STOCK MUERTO",Análisis!C79,""),"—")</f>
        <v>Higiene Personal</v>
      </c>
      <c r="D159" s="67" t="n">
        <f aca="false">IFERROR(IF(Análisis!$K$79="🔴 STOCK MUERTO",Análisis!D79,""),"—")</f>
        <v>206</v>
      </c>
      <c r="E159" s="69" t="n">
        <f aca="false">IFERROR(IF(Análisis!$K$79="🔴 STOCK MUERTO",Análisis!E79,""),"—")</f>
        <v>1.66666666666667</v>
      </c>
      <c r="F159" s="70" t="n">
        <f aca="false">IFERROR(IF(Análisis!$K$79="🔴 STOCK MUERTO",Análisis!F79,""),"—")</f>
        <v>3708</v>
      </c>
      <c r="G159" s="67" t="n">
        <f aca="false">IFERROR(IF(Análisis!$K$79="🔴 STOCK MUERTO",Análisis!I79,""),"—")</f>
        <v>5</v>
      </c>
      <c r="H159" s="67" t="str">
        <f aca="false">IFERROR(IF(Análisis!$K$79="🔴 STOCK MUERTO",Análisis!M79,""),"—")</f>
        <v>C</v>
      </c>
      <c r="I159" s="71" t="n">
        <f aca="false">IFERROR(IF(Análisis!$K$79="🔴 STOCK MUERTO",Análisis!H79,""),"—")</f>
        <v>2018.8</v>
      </c>
      <c r="J159" s="67" t="str">
        <f aca="false">IFERROR(IF(Análisis!$K$79="🔴 STOCK MUERTO",Análisis!O79,""),"—")</f>
        <v>LIQUIDAR / DEVOLVER</v>
      </c>
    </row>
    <row r="162" customFormat="false" ht="21.75" hidden="false" customHeight="true" outlineLevel="0" collapsed="false">
      <c r="A162" s="73" t="s">
        <v>285</v>
      </c>
      <c r="B162" s="73"/>
      <c r="C162" s="73"/>
      <c r="D162" s="73"/>
      <c r="E162" s="73"/>
      <c r="F162" s="73"/>
      <c r="G162" s="73"/>
      <c r="H162" s="73"/>
      <c r="I162" s="73"/>
      <c r="J162" s="73"/>
    </row>
    <row r="163" customFormat="false" ht="27.75" hidden="false" customHeight="true" outlineLevel="0" collapsed="false">
      <c r="A163" s="66" t="s">
        <v>2</v>
      </c>
      <c r="B163" s="66" t="s">
        <v>3</v>
      </c>
      <c r="C163" s="66" t="s">
        <v>4</v>
      </c>
      <c r="D163" s="66" t="s">
        <v>8</v>
      </c>
      <c r="E163" s="66" t="s">
        <v>17</v>
      </c>
      <c r="F163" s="66" t="s">
        <v>280</v>
      </c>
      <c r="G163" s="66" t="s">
        <v>9</v>
      </c>
      <c r="H163" s="66" t="s">
        <v>281</v>
      </c>
      <c r="I163" s="66" t="s">
        <v>282</v>
      </c>
      <c r="J163" s="66" t="s">
        <v>283</v>
      </c>
    </row>
    <row r="164" customFormat="false" ht="15.75" hidden="false" customHeight="true" outlineLevel="0" collapsed="false">
      <c r="A164" s="67" t="str">
        <f aca="false">IFERROR(IF(Análisis!$K$5="🟡 SOBRESTOCK",Análisis!A5,""),"—")</f>
        <v/>
      </c>
      <c r="B164" s="68" t="str">
        <f aca="false">IFERROR(IF(Análisis!$K$5="🟡 SOBRESTOCK",Análisis!B5,""),"—")</f>
        <v/>
      </c>
      <c r="C164" s="67" t="str">
        <f aca="false">IFERROR(IF(Análisis!$K$5="🟡 SOBRESTOCK",Análisis!C5,""),"—")</f>
        <v/>
      </c>
      <c r="D164" s="67" t="str">
        <f aca="false">IFERROR(IF(Análisis!$K$5="🟡 SOBRESTOCK",Análisis!D5,""),"—")</f>
        <v/>
      </c>
      <c r="E164" s="69" t="str">
        <f aca="false">IFERROR(IF(Análisis!$K$5="🟡 SOBRESTOCK",Análisis!E5,""),"—")</f>
        <v/>
      </c>
      <c r="F164" s="70" t="str">
        <f aca="false">IFERROR(IF(Análisis!$K$5="🟡 SOBRESTOCK",Análisis!F5,""),"—")</f>
        <v/>
      </c>
      <c r="G164" s="67" t="str">
        <f aca="false">IFERROR(IF(Análisis!$K$5="🟡 SOBRESTOCK",Análisis!I5,""),"—")</f>
        <v/>
      </c>
      <c r="H164" s="67" t="str">
        <f aca="false">IFERROR(IF(Análisis!$K$5="🟡 SOBRESTOCK",Análisis!M5,""),"—")</f>
        <v/>
      </c>
      <c r="I164" s="71" t="str">
        <f aca="false">IFERROR(IF(Análisis!$K$5="🟡 SOBRESTOCK",Análisis!H5,""),"—")</f>
        <v/>
      </c>
      <c r="J164" s="67" t="str">
        <f aca="false">IFERROR(IF(Análisis!$K$5="🟡 SOBRESTOCK",Análisis!O5,""),"—")</f>
        <v/>
      </c>
    </row>
    <row r="165" customFormat="false" ht="15.75" hidden="false" customHeight="true" outlineLevel="0" collapsed="false">
      <c r="A165" s="67" t="str">
        <f aca="false">IFERROR(IF(Análisis!$K$6="🟡 SOBRESTOCK",Análisis!A6,""),"—")</f>
        <v/>
      </c>
      <c r="B165" s="68" t="str">
        <f aca="false">IFERROR(IF(Análisis!$K$6="🟡 SOBRESTOCK",Análisis!B6,""),"—")</f>
        <v/>
      </c>
      <c r="C165" s="67" t="str">
        <f aca="false">IFERROR(IF(Análisis!$K$6="🟡 SOBRESTOCK",Análisis!C6,""),"—")</f>
        <v/>
      </c>
      <c r="D165" s="67" t="str">
        <f aca="false">IFERROR(IF(Análisis!$K$6="🟡 SOBRESTOCK",Análisis!D6,""),"—")</f>
        <v/>
      </c>
      <c r="E165" s="69" t="str">
        <f aca="false">IFERROR(IF(Análisis!$K$6="🟡 SOBRESTOCK",Análisis!E6,""),"—")</f>
        <v/>
      </c>
      <c r="F165" s="70" t="str">
        <f aca="false">IFERROR(IF(Análisis!$K$6="🟡 SOBRESTOCK",Análisis!F6,""),"—")</f>
        <v/>
      </c>
      <c r="G165" s="67" t="str">
        <f aca="false">IFERROR(IF(Análisis!$K$6="🟡 SOBRESTOCK",Análisis!I6,""),"—")</f>
        <v/>
      </c>
      <c r="H165" s="67" t="str">
        <f aca="false">IFERROR(IF(Análisis!$K$6="🟡 SOBRESTOCK",Análisis!M6,""),"—")</f>
        <v/>
      </c>
      <c r="I165" s="71" t="str">
        <f aca="false">IFERROR(IF(Análisis!$K$6="🟡 SOBRESTOCK",Análisis!H6,""),"—")</f>
        <v/>
      </c>
      <c r="J165" s="67" t="str">
        <f aca="false">IFERROR(IF(Análisis!$K$6="🟡 SOBRESTOCK",Análisis!O6,""),"—")</f>
        <v/>
      </c>
    </row>
    <row r="166" customFormat="false" ht="15.75" hidden="false" customHeight="true" outlineLevel="0" collapsed="false">
      <c r="A166" s="67" t="str">
        <f aca="false">IFERROR(IF(Análisis!$K$7="🟡 SOBRESTOCK",Análisis!A7,""),"—")</f>
        <v>SKU-003</v>
      </c>
      <c r="B166" s="68" t="str">
        <f aca="false">IFERROR(IF(Análisis!$K$7="🟡 SOBRESTOCK",Análisis!B7,""),"—")</f>
        <v>Fideos Spaghetti 500g</v>
      </c>
      <c r="C166" s="67" t="str">
        <f aca="false">IFERROR(IF(Análisis!$K$7="🟡 SOBRESTOCK",Análisis!C7,""),"—")</f>
        <v>Alimentos Secos</v>
      </c>
      <c r="D166" s="67" t="n">
        <f aca="false">IFERROR(IF(Análisis!$K$7="🟡 SOBRESTOCK",Análisis!D7,""),"—")</f>
        <v>190</v>
      </c>
      <c r="E166" s="69" t="n">
        <f aca="false">IFERROR(IF(Análisis!$K$7="🟡 SOBRESTOCK",Análisis!E7,""),"—")</f>
        <v>40</v>
      </c>
      <c r="F166" s="70" t="n">
        <f aca="false">IFERROR(IF(Análisis!$K$7="🟡 SOBRESTOCK",Análisis!F7,""),"—")</f>
        <v>142.5</v>
      </c>
      <c r="G166" s="67" t="n">
        <f aca="false">IFERROR(IF(Análisis!$K$7="🟡 SOBRESTOCK",Análisis!I7,""),"—")</f>
        <v>8</v>
      </c>
      <c r="H166" s="67" t="str">
        <f aca="false">IFERROR(IF(Análisis!$K$7="🟡 SOBRESTOCK",Análisis!M7,""),"—")</f>
        <v>C</v>
      </c>
      <c r="I166" s="71" t="n">
        <f aca="false">IFERROR(IF(Análisis!$K$7="🟡 SOBRESTOCK",Análisis!H7,""),"—")</f>
        <v>342</v>
      </c>
      <c r="J166" s="67" t="str">
        <f aca="false">IFERROR(IF(Análisis!$K$7="🟡 SOBRESTOCK",Análisis!O7,""),"—")</f>
        <v>Reducir próxima compra</v>
      </c>
    </row>
    <row r="167" customFormat="false" ht="15.75" hidden="false" customHeight="true" outlineLevel="0" collapsed="false">
      <c r="A167" s="67" t="str">
        <f aca="false">IFERROR(IF(Análisis!$K$8="🟡 SOBRESTOCK",Análisis!A8,""),"—")</f>
        <v/>
      </c>
      <c r="B167" s="68" t="str">
        <f aca="false">IFERROR(IF(Análisis!$K$8="🟡 SOBRESTOCK",Análisis!B8,""),"—")</f>
        <v/>
      </c>
      <c r="C167" s="67" t="str">
        <f aca="false">IFERROR(IF(Análisis!$K$8="🟡 SOBRESTOCK",Análisis!C8,""),"—")</f>
        <v/>
      </c>
      <c r="D167" s="67" t="str">
        <f aca="false">IFERROR(IF(Análisis!$K$8="🟡 SOBRESTOCK",Análisis!D8,""),"—")</f>
        <v/>
      </c>
      <c r="E167" s="69" t="str">
        <f aca="false">IFERROR(IF(Análisis!$K$8="🟡 SOBRESTOCK",Análisis!E8,""),"—")</f>
        <v/>
      </c>
      <c r="F167" s="70" t="str">
        <f aca="false">IFERROR(IF(Análisis!$K$8="🟡 SOBRESTOCK",Análisis!F8,""),"—")</f>
        <v/>
      </c>
      <c r="G167" s="67" t="str">
        <f aca="false">IFERROR(IF(Análisis!$K$8="🟡 SOBRESTOCK",Análisis!I8,""),"—")</f>
        <v/>
      </c>
      <c r="H167" s="67" t="str">
        <f aca="false">IFERROR(IF(Análisis!$K$8="🟡 SOBRESTOCK",Análisis!M8,""),"—")</f>
        <v/>
      </c>
      <c r="I167" s="71" t="str">
        <f aca="false">IFERROR(IF(Análisis!$K$8="🟡 SOBRESTOCK",Análisis!H8,""),"—")</f>
        <v/>
      </c>
      <c r="J167" s="67" t="str">
        <f aca="false">IFERROR(IF(Análisis!$K$8="🟡 SOBRESTOCK",Análisis!O8,""),"—")</f>
        <v/>
      </c>
    </row>
    <row r="168" customFormat="false" ht="15.75" hidden="false" customHeight="true" outlineLevel="0" collapsed="false">
      <c r="A168" s="67" t="str">
        <f aca="false">IFERROR(IF(Análisis!$K$9="🟡 SOBRESTOCK",Análisis!A9,""),"—")</f>
        <v/>
      </c>
      <c r="B168" s="68" t="str">
        <f aca="false">IFERROR(IF(Análisis!$K$9="🟡 SOBRESTOCK",Análisis!B9,""),"—")</f>
        <v/>
      </c>
      <c r="C168" s="67" t="str">
        <f aca="false">IFERROR(IF(Análisis!$K$9="🟡 SOBRESTOCK",Análisis!C9,""),"—")</f>
        <v/>
      </c>
      <c r="D168" s="67" t="str">
        <f aca="false">IFERROR(IF(Análisis!$K$9="🟡 SOBRESTOCK",Análisis!D9,""),"—")</f>
        <v/>
      </c>
      <c r="E168" s="69" t="str">
        <f aca="false">IFERROR(IF(Análisis!$K$9="🟡 SOBRESTOCK",Análisis!E9,""),"—")</f>
        <v/>
      </c>
      <c r="F168" s="70" t="str">
        <f aca="false">IFERROR(IF(Análisis!$K$9="🟡 SOBRESTOCK",Análisis!F9,""),"—")</f>
        <v/>
      </c>
      <c r="G168" s="67" t="str">
        <f aca="false">IFERROR(IF(Análisis!$K$9="🟡 SOBRESTOCK",Análisis!I9,""),"—")</f>
        <v/>
      </c>
      <c r="H168" s="67" t="str">
        <f aca="false">IFERROR(IF(Análisis!$K$9="🟡 SOBRESTOCK",Análisis!M9,""),"—")</f>
        <v/>
      </c>
      <c r="I168" s="71" t="str">
        <f aca="false">IFERROR(IF(Análisis!$K$9="🟡 SOBRESTOCK",Análisis!H9,""),"—")</f>
        <v/>
      </c>
      <c r="J168" s="67" t="str">
        <f aca="false">IFERROR(IF(Análisis!$K$9="🟡 SOBRESTOCK",Análisis!O9,""),"—")</f>
        <v/>
      </c>
    </row>
    <row r="169" customFormat="false" ht="15.75" hidden="false" customHeight="true" outlineLevel="0" collapsed="false">
      <c r="A169" s="67" t="str">
        <f aca="false">IFERROR(IF(Análisis!$K$10="🟡 SOBRESTOCK",Análisis!A10,""),"—")</f>
        <v/>
      </c>
      <c r="B169" s="68" t="str">
        <f aca="false">IFERROR(IF(Análisis!$K$10="🟡 SOBRESTOCK",Análisis!B10,""),"—")</f>
        <v/>
      </c>
      <c r="C169" s="67" t="str">
        <f aca="false">IFERROR(IF(Análisis!$K$10="🟡 SOBRESTOCK",Análisis!C10,""),"—")</f>
        <v/>
      </c>
      <c r="D169" s="67" t="str">
        <f aca="false">IFERROR(IF(Análisis!$K$10="🟡 SOBRESTOCK",Análisis!D10,""),"—")</f>
        <v/>
      </c>
      <c r="E169" s="69" t="str">
        <f aca="false">IFERROR(IF(Análisis!$K$10="🟡 SOBRESTOCK",Análisis!E10,""),"—")</f>
        <v/>
      </c>
      <c r="F169" s="70" t="str">
        <f aca="false">IFERROR(IF(Análisis!$K$10="🟡 SOBRESTOCK",Análisis!F10,""),"—")</f>
        <v/>
      </c>
      <c r="G169" s="67" t="str">
        <f aca="false">IFERROR(IF(Análisis!$K$10="🟡 SOBRESTOCK",Análisis!I10,""),"—")</f>
        <v/>
      </c>
      <c r="H169" s="67" t="str">
        <f aca="false">IFERROR(IF(Análisis!$K$10="🟡 SOBRESTOCK",Análisis!M10,""),"—")</f>
        <v/>
      </c>
      <c r="I169" s="71" t="str">
        <f aca="false">IFERROR(IF(Análisis!$K$10="🟡 SOBRESTOCK",Análisis!H10,""),"—")</f>
        <v/>
      </c>
      <c r="J169" s="67" t="str">
        <f aca="false">IFERROR(IF(Análisis!$K$10="🟡 SOBRESTOCK",Análisis!O10,""),"—")</f>
        <v/>
      </c>
    </row>
    <row r="170" customFormat="false" ht="15.75" hidden="false" customHeight="true" outlineLevel="0" collapsed="false">
      <c r="A170" s="67" t="str">
        <f aca="false">IFERROR(IF(Análisis!$K$11="🟡 SOBRESTOCK",Análisis!A11,""),"—")</f>
        <v/>
      </c>
      <c r="B170" s="68" t="str">
        <f aca="false">IFERROR(IF(Análisis!$K$11="🟡 SOBRESTOCK",Análisis!B11,""),"—")</f>
        <v/>
      </c>
      <c r="C170" s="67" t="str">
        <f aca="false">IFERROR(IF(Análisis!$K$11="🟡 SOBRESTOCK",Análisis!C11,""),"—")</f>
        <v/>
      </c>
      <c r="D170" s="67" t="str">
        <f aca="false">IFERROR(IF(Análisis!$K$11="🟡 SOBRESTOCK",Análisis!D11,""),"—")</f>
        <v/>
      </c>
      <c r="E170" s="69" t="str">
        <f aca="false">IFERROR(IF(Análisis!$K$11="🟡 SOBRESTOCK",Análisis!E11,""),"—")</f>
        <v/>
      </c>
      <c r="F170" s="70" t="str">
        <f aca="false">IFERROR(IF(Análisis!$K$11="🟡 SOBRESTOCK",Análisis!F11,""),"—")</f>
        <v/>
      </c>
      <c r="G170" s="67" t="str">
        <f aca="false">IFERROR(IF(Análisis!$K$11="🟡 SOBRESTOCK",Análisis!I11,""),"—")</f>
        <v/>
      </c>
      <c r="H170" s="67" t="str">
        <f aca="false">IFERROR(IF(Análisis!$K$11="🟡 SOBRESTOCK",Análisis!M11,""),"—")</f>
        <v/>
      </c>
      <c r="I170" s="71" t="str">
        <f aca="false">IFERROR(IF(Análisis!$K$11="🟡 SOBRESTOCK",Análisis!H11,""),"—")</f>
        <v/>
      </c>
      <c r="J170" s="67" t="str">
        <f aca="false">IFERROR(IF(Análisis!$K$11="🟡 SOBRESTOCK",Análisis!O11,""),"—")</f>
        <v/>
      </c>
    </row>
    <row r="171" customFormat="false" ht="15.75" hidden="false" customHeight="true" outlineLevel="0" collapsed="false">
      <c r="A171" s="67" t="str">
        <f aca="false">IFERROR(IF(Análisis!$K$12="🟡 SOBRESTOCK",Análisis!A12,""),"—")</f>
        <v/>
      </c>
      <c r="B171" s="68" t="str">
        <f aca="false">IFERROR(IF(Análisis!$K$12="🟡 SOBRESTOCK",Análisis!B12,""),"—")</f>
        <v/>
      </c>
      <c r="C171" s="67" t="str">
        <f aca="false">IFERROR(IF(Análisis!$K$12="🟡 SOBRESTOCK",Análisis!C12,""),"—")</f>
        <v/>
      </c>
      <c r="D171" s="67" t="str">
        <f aca="false">IFERROR(IF(Análisis!$K$12="🟡 SOBRESTOCK",Análisis!D12,""),"—")</f>
        <v/>
      </c>
      <c r="E171" s="69" t="str">
        <f aca="false">IFERROR(IF(Análisis!$K$12="🟡 SOBRESTOCK",Análisis!E12,""),"—")</f>
        <v/>
      </c>
      <c r="F171" s="70" t="str">
        <f aca="false">IFERROR(IF(Análisis!$K$12="🟡 SOBRESTOCK",Análisis!F12,""),"—")</f>
        <v/>
      </c>
      <c r="G171" s="67" t="str">
        <f aca="false">IFERROR(IF(Análisis!$K$12="🟡 SOBRESTOCK",Análisis!I12,""),"—")</f>
        <v/>
      </c>
      <c r="H171" s="67" t="str">
        <f aca="false">IFERROR(IF(Análisis!$K$12="🟡 SOBRESTOCK",Análisis!M12,""),"—")</f>
        <v/>
      </c>
      <c r="I171" s="71" t="str">
        <f aca="false">IFERROR(IF(Análisis!$K$12="🟡 SOBRESTOCK",Análisis!H12,""),"—")</f>
        <v/>
      </c>
      <c r="J171" s="67" t="str">
        <f aca="false">IFERROR(IF(Análisis!$K$12="🟡 SOBRESTOCK",Análisis!O12,""),"—")</f>
        <v/>
      </c>
    </row>
    <row r="172" customFormat="false" ht="15.75" hidden="false" customHeight="true" outlineLevel="0" collapsed="false">
      <c r="A172" s="67" t="str">
        <f aca="false">IFERROR(IF(Análisis!$K$13="🟡 SOBRESTOCK",Análisis!A13,""),"—")</f>
        <v/>
      </c>
      <c r="B172" s="68" t="str">
        <f aca="false">IFERROR(IF(Análisis!$K$13="🟡 SOBRESTOCK",Análisis!B13,""),"—")</f>
        <v/>
      </c>
      <c r="C172" s="67" t="str">
        <f aca="false">IFERROR(IF(Análisis!$K$13="🟡 SOBRESTOCK",Análisis!C13,""),"—")</f>
        <v/>
      </c>
      <c r="D172" s="67" t="str">
        <f aca="false">IFERROR(IF(Análisis!$K$13="🟡 SOBRESTOCK",Análisis!D13,""),"—")</f>
        <v/>
      </c>
      <c r="E172" s="69" t="str">
        <f aca="false">IFERROR(IF(Análisis!$K$13="🟡 SOBRESTOCK",Análisis!E13,""),"—")</f>
        <v/>
      </c>
      <c r="F172" s="70" t="str">
        <f aca="false">IFERROR(IF(Análisis!$K$13="🟡 SOBRESTOCK",Análisis!F13,""),"—")</f>
        <v/>
      </c>
      <c r="G172" s="67" t="str">
        <f aca="false">IFERROR(IF(Análisis!$K$13="🟡 SOBRESTOCK",Análisis!I13,""),"—")</f>
        <v/>
      </c>
      <c r="H172" s="67" t="str">
        <f aca="false">IFERROR(IF(Análisis!$K$13="🟡 SOBRESTOCK",Análisis!M13,""),"—")</f>
        <v/>
      </c>
      <c r="I172" s="71" t="str">
        <f aca="false">IFERROR(IF(Análisis!$K$13="🟡 SOBRESTOCK",Análisis!H13,""),"—")</f>
        <v/>
      </c>
      <c r="J172" s="67" t="str">
        <f aca="false">IFERROR(IF(Análisis!$K$13="🟡 SOBRESTOCK",Análisis!O13,""),"—")</f>
        <v/>
      </c>
    </row>
    <row r="173" customFormat="false" ht="15.75" hidden="false" customHeight="true" outlineLevel="0" collapsed="false">
      <c r="A173" s="67" t="str">
        <f aca="false">IFERROR(IF(Análisis!$K$14="🟡 SOBRESTOCK",Análisis!A14,""),"—")</f>
        <v/>
      </c>
      <c r="B173" s="68" t="str">
        <f aca="false">IFERROR(IF(Análisis!$K$14="🟡 SOBRESTOCK",Análisis!B14,""),"—")</f>
        <v/>
      </c>
      <c r="C173" s="67" t="str">
        <f aca="false">IFERROR(IF(Análisis!$K$14="🟡 SOBRESTOCK",Análisis!C14,""),"—")</f>
        <v/>
      </c>
      <c r="D173" s="67" t="str">
        <f aca="false">IFERROR(IF(Análisis!$K$14="🟡 SOBRESTOCK",Análisis!D14,""),"—")</f>
        <v/>
      </c>
      <c r="E173" s="69" t="str">
        <f aca="false">IFERROR(IF(Análisis!$K$14="🟡 SOBRESTOCK",Análisis!E14,""),"—")</f>
        <v/>
      </c>
      <c r="F173" s="70" t="str">
        <f aca="false">IFERROR(IF(Análisis!$K$14="🟡 SOBRESTOCK",Análisis!F14,""),"—")</f>
        <v/>
      </c>
      <c r="G173" s="67" t="str">
        <f aca="false">IFERROR(IF(Análisis!$K$14="🟡 SOBRESTOCK",Análisis!I14,""),"—")</f>
        <v/>
      </c>
      <c r="H173" s="67" t="str">
        <f aca="false">IFERROR(IF(Análisis!$K$14="🟡 SOBRESTOCK",Análisis!M14,""),"—")</f>
        <v/>
      </c>
      <c r="I173" s="71" t="str">
        <f aca="false">IFERROR(IF(Análisis!$K$14="🟡 SOBRESTOCK",Análisis!H14,""),"—")</f>
        <v/>
      </c>
      <c r="J173" s="67" t="str">
        <f aca="false">IFERROR(IF(Análisis!$K$14="🟡 SOBRESTOCK",Análisis!O14,""),"—")</f>
        <v/>
      </c>
    </row>
    <row r="174" customFormat="false" ht="15.75" hidden="false" customHeight="true" outlineLevel="0" collapsed="false">
      <c r="A174" s="67" t="str">
        <f aca="false">IFERROR(IF(Análisis!$K$15="🟡 SOBRESTOCK",Análisis!A15,""),"—")</f>
        <v/>
      </c>
      <c r="B174" s="68" t="str">
        <f aca="false">IFERROR(IF(Análisis!$K$15="🟡 SOBRESTOCK",Análisis!B15,""),"—")</f>
        <v/>
      </c>
      <c r="C174" s="67" t="str">
        <f aca="false">IFERROR(IF(Análisis!$K$15="🟡 SOBRESTOCK",Análisis!C15,""),"—")</f>
        <v/>
      </c>
      <c r="D174" s="67" t="str">
        <f aca="false">IFERROR(IF(Análisis!$K$15="🟡 SOBRESTOCK",Análisis!D15,""),"—")</f>
        <v/>
      </c>
      <c r="E174" s="69" t="str">
        <f aca="false">IFERROR(IF(Análisis!$K$15="🟡 SOBRESTOCK",Análisis!E15,""),"—")</f>
        <v/>
      </c>
      <c r="F174" s="70" t="str">
        <f aca="false">IFERROR(IF(Análisis!$K$15="🟡 SOBRESTOCK",Análisis!F15,""),"—")</f>
        <v/>
      </c>
      <c r="G174" s="67" t="str">
        <f aca="false">IFERROR(IF(Análisis!$K$15="🟡 SOBRESTOCK",Análisis!I15,""),"—")</f>
        <v/>
      </c>
      <c r="H174" s="67" t="str">
        <f aca="false">IFERROR(IF(Análisis!$K$15="🟡 SOBRESTOCK",Análisis!M15,""),"—")</f>
        <v/>
      </c>
      <c r="I174" s="71" t="str">
        <f aca="false">IFERROR(IF(Análisis!$K$15="🟡 SOBRESTOCK",Análisis!H15,""),"—")</f>
        <v/>
      </c>
      <c r="J174" s="67" t="str">
        <f aca="false">IFERROR(IF(Análisis!$K$15="🟡 SOBRESTOCK",Análisis!O15,""),"—")</f>
        <v/>
      </c>
    </row>
    <row r="175" customFormat="false" ht="15.75" hidden="false" customHeight="true" outlineLevel="0" collapsed="false">
      <c r="A175" s="67" t="str">
        <f aca="false">IFERROR(IF(Análisis!$K$16="🟡 SOBRESTOCK",Análisis!A16,""),"—")</f>
        <v/>
      </c>
      <c r="B175" s="68" t="str">
        <f aca="false">IFERROR(IF(Análisis!$K$16="🟡 SOBRESTOCK",Análisis!B16,""),"—")</f>
        <v/>
      </c>
      <c r="C175" s="67" t="str">
        <f aca="false">IFERROR(IF(Análisis!$K$16="🟡 SOBRESTOCK",Análisis!C16,""),"—")</f>
        <v/>
      </c>
      <c r="D175" s="67" t="str">
        <f aca="false">IFERROR(IF(Análisis!$K$16="🟡 SOBRESTOCK",Análisis!D16,""),"—")</f>
        <v/>
      </c>
      <c r="E175" s="69" t="str">
        <f aca="false">IFERROR(IF(Análisis!$K$16="🟡 SOBRESTOCK",Análisis!E16,""),"—")</f>
        <v/>
      </c>
      <c r="F175" s="70" t="str">
        <f aca="false">IFERROR(IF(Análisis!$K$16="🟡 SOBRESTOCK",Análisis!F16,""),"—")</f>
        <v/>
      </c>
      <c r="G175" s="67" t="str">
        <f aca="false">IFERROR(IF(Análisis!$K$16="🟡 SOBRESTOCK",Análisis!I16,""),"—")</f>
        <v/>
      </c>
      <c r="H175" s="67" t="str">
        <f aca="false">IFERROR(IF(Análisis!$K$16="🟡 SOBRESTOCK",Análisis!M16,""),"—")</f>
        <v/>
      </c>
      <c r="I175" s="71" t="str">
        <f aca="false">IFERROR(IF(Análisis!$K$16="🟡 SOBRESTOCK",Análisis!H16,""),"—")</f>
        <v/>
      </c>
      <c r="J175" s="67" t="str">
        <f aca="false">IFERROR(IF(Análisis!$K$16="🟡 SOBRESTOCK",Análisis!O16,""),"—")</f>
        <v/>
      </c>
    </row>
    <row r="176" customFormat="false" ht="15.75" hidden="false" customHeight="true" outlineLevel="0" collapsed="false">
      <c r="A176" s="67" t="str">
        <f aca="false">IFERROR(IF(Análisis!$K$17="🟡 SOBRESTOCK",Análisis!A17,""),"—")</f>
        <v/>
      </c>
      <c r="B176" s="68" t="str">
        <f aca="false">IFERROR(IF(Análisis!$K$17="🟡 SOBRESTOCK",Análisis!B17,""),"—")</f>
        <v/>
      </c>
      <c r="C176" s="67" t="str">
        <f aca="false">IFERROR(IF(Análisis!$K$17="🟡 SOBRESTOCK",Análisis!C17,""),"—")</f>
        <v/>
      </c>
      <c r="D176" s="67" t="str">
        <f aca="false">IFERROR(IF(Análisis!$K$17="🟡 SOBRESTOCK",Análisis!D17,""),"—")</f>
        <v/>
      </c>
      <c r="E176" s="69" t="str">
        <f aca="false">IFERROR(IF(Análisis!$K$17="🟡 SOBRESTOCK",Análisis!E17,""),"—")</f>
        <v/>
      </c>
      <c r="F176" s="70" t="str">
        <f aca="false">IFERROR(IF(Análisis!$K$17="🟡 SOBRESTOCK",Análisis!F17,""),"—")</f>
        <v/>
      </c>
      <c r="G176" s="67" t="str">
        <f aca="false">IFERROR(IF(Análisis!$K$17="🟡 SOBRESTOCK",Análisis!I17,""),"—")</f>
        <v/>
      </c>
      <c r="H176" s="67" t="str">
        <f aca="false">IFERROR(IF(Análisis!$K$17="🟡 SOBRESTOCK",Análisis!M17,""),"—")</f>
        <v/>
      </c>
      <c r="I176" s="71" t="str">
        <f aca="false">IFERROR(IF(Análisis!$K$17="🟡 SOBRESTOCK",Análisis!H17,""),"—")</f>
        <v/>
      </c>
      <c r="J176" s="67" t="str">
        <f aca="false">IFERROR(IF(Análisis!$K$17="🟡 SOBRESTOCK",Análisis!O17,""),"—")</f>
        <v/>
      </c>
    </row>
    <row r="177" customFormat="false" ht="15.75" hidden="false" customHeight="true" outlineLevel="0" collapsed="false">
      <c r="A177" s="67" t="str">
        <f aca="false">IFERROR(IF(Análisis!$K$18="🟡 SOBRESTOCK",Análisis!A18,""),"—")</f>
        <v/>
      </c>
      <c r="B177" s="68" t="str">
        <f aca="false">IFERROR(IF(Análisis!$K$18="🟡 SOBRESTOCK",Análisis!B18,""),"—")</f>
        <v/>
      </c>
      <c r="C177" s="67" t="str">
        <f aca="false">IFERROR(IF(Análisis!$K$18="🟡 SOBRESTOCK",Análisis!C18,""),"—")</f>
        <v/>
      </c>
      <c r="D177" s="67" t="str">
        <f aca="false">IFERROR(IF(Análisis!$K$18="🟡 SOBRESTOCK",Análisis!D18,""),"—")</f>
        <v/>
      </c>
      <c r="E177" s="69" t="str">
        <f aca="false">IFERROR(IF(Análisis!$K$18="🟡 SOBRESTOCK",Análisis!E18,""),"—")</f>
        <v/>
      </c>
      <c r="F177" s="70" t="str">
        <f aca="false">IFERROR(IF(Análisis!$K$18="🟡 SOBRESTOCK",Análisis!F18,""),"—")</f>
        <v/>
      </c>
      <c r="G177" s="67" t="str">
        <f aca="false">IFERROR(IF(Análisis!$K$18="🟡 SOBRESTOCK",Análisis!I18,""),"—")</f>
        <v/>
      </c>
      <c r="H177" s="67" t="str">
        <f aca="false">IFERROR(IF(Análisis!$K$18="🟡 SOBRESTOCK",Análisis!M18,""),"—")</f>
        <v/>
      </c>
      <c r="I177" s="71" t="str">
        <f aca="false">IFERROR(IF(Análisis!$K$18="🟡 SOBRESTOCK",Análisis!H18,""),"—")</f>
        <v/>
      </c>
      <c r="J177" s="67" t="str">
        <f aca="false">IFERROR(IF(Análisis!$K$18="🟡 SOBRESTOCK",Análisis!O18,""),"—")</f>
        <v/>
      </c>
    </row>
    <row r="178" customFormat="false" ht="15.75" hidden="false" customHeight="true" outlineLevel="0" collapsed="false">
      <c r="A178" s="67" t="str">
        <f aca="false">IFERROR(IF(Análisis!$K$19="🟡 SOBRESTOCK",Análisis!A19,""),"—")</f>
        <v/>
      </c>
      <c r="B178" s="68" t="str">
        <f aca="false">IFERROR(IF(Análisis!$K$19="🟡 SOBRESTOCK",Análisis!B19,""),"—")</f>
        <v/>
      </c>
      <c r="C178" s="67" t="str">
        <f aca="false">IFERROR(IF(Análisis!$K$19="🟡 SOBRESTOCK",Análisis!C19,""),"—")</f>
        <v/>
      </c>
      <c r="D178" s="67" t="str">
        <f aca="false">IFERROR(IF(Análisis!$K$19="🟡 SOBRESTOCK",Análisis!D19,""),"—")</f>
        <v/>
      </c>
      <c r="E178" s="69" t="str">
        <f aca="false">IFERROR(IF(Análisis!$K$19="🟡 SOBRESTOCK",Análisis!E19,""),"—")</f>
        <v/>
      </c>
      <c r="F178" s="70" t="str">
        <f aca="false">IFERROR(IF(Análisis!$K$19="🟡 SOBRESTOCK",Análisis!F19,""),"—")</f>
        <v/>
      </c>
      <c r="G178" s="67" t="str">
        <f aca="false">IFERROR(IF(Análisis!$K$19="🟡 SOBRESTOCK",Análisis!I19,""),"—")</f>
        <v/>
      </c>
      <c r="H178" s="67" t="str">
        <f aca="false">IFERROR(IF(Análisis!$K$19="🟡 SOBRESTOCK",Análisis!M19,""),"—")</f>
        <v/>
      </c>
      <c r="I178" s="71" t="str">
        <f aca="false">IFERROR(IF(Análisis!$K$19="🟡 SOBRESTOCK",Análisis!H19,""),"—")</f>
        <v/>
      </c>
      <c r="J178" s="67" t="str">
        <f aca="false">IFERROR(IF(Análisis!$K$19="🟡 SOBRESTOCK",Análisis!O19,""),"—")</f>
        <v/>
      </c>
    </row>
    <row r="179" customFormat="false" ht="15.75" hidden="false" customHeight="true" outlineLevel="0" collapsed="false">
      <c r="A179" s="67" t="str">
        <f aca="false">IFERROR(IF(Análisis!$K$20="🟡 SOBRESTOCK",Análisis!A20,""),"—")</f>
        <v/>
      </c>
      <c r="B179" s="68" t="str">
        <f aca="false">IFERROR(IF(Análisis!$K$20="🟡 SOBRESTOCK",Análisis!B20,""),"—")</f>
        <v/>
      </c>
      <c r="C179" s="67" t="str">
        <f aca="false">IFERROR(IF(Análisis!$K$20="🟡 SOBRESTOCK",Análisis!C20,""),"—")</f>
        <v/>
      </c>
      <c r="D179" s="67" t="str">
        <f aca="false">IFERROR(IF(Análisis!$K$20="🟡 SOBRESTOCK",Análisis!D20,""),"—")</f>
        <v/>
      </c>
      <c r="E179" s="69" t="str">
        <f aca="false">IFERROR(IF(Análisis!$K$20="🟡 SOBRESTOCK",Análisis!E20,""),"—")</f>
        <v/>
      </c>
      <c r="F179" s="70" t="str">
        <f aca="false">IFERROR(IF(Análisis!$K$20="🟡 SOBRESTOCK",Análisis!F20,""),"—")</f>
        <v/>
      </c>
      <c r="G179" s="67" t="str">
        <f aca="false">IFERROR(IF(Análisis!$K$20="🟡 SOBRESTOCK",Análisis!I20,""),"—")</f>
        <v/>
      </c>
      <c r="H179" s="67" t="str">
        <f aca="false">IFERROR(IF(Análisis!$K$20="🟡 SOBRESTOCK",Análisis!M20,""),"—")</f>
        <v/>
      </c>
      <c r="I179" s="71" t="str">
        <f aca="false">IFERROR(IF(Análisis!$K$20="🟡 SOBRESTOCK",Análisis!H20,""),"—")</f>
        <v/>
      </c>
      <c r="J179" s="67" t="str">
        <f aca="false">IFERROR(IF(Análisis!$K$20="🟡 SOBRESTOCK",Análisis!O20,""),"—")</f>
        <v/>
      </c>
    </row>
    <row r="180" customFormat="false" ht="15.75" hidden="false" customHeight="true" outlineLevel="0" collapsed="false">
      <c r="A180" s="67" t="str">
        <f aca="false">IFERROR(IF(Análisis!$K$21="🟡 SOBRESTOCK",Análisis!A21,""),"—")</f>
        <v/>
      </c>
      <c r="B180" s="68" t="str">
        <f aca="false">IFERROR(IF(Análisis!$K$21="🟡 SOBRESTOCK",Análisis!B21,""),"—")</f>
        <v/>
      </c>
      <c r="C180" s="67" t="str">
        <f aca="false">IFERROR(IF(Análisis!$K$21="🟡 SOBRESTOCK",Análisis!C21,""),"—")</f>
        <v/>
      </c>
      <c r="D180" s="67" t="str">
        <f aca="false">IFERROR(IF(Análisis!$K$21="🟡 SOBRESTOCK",Análisis!D21,""),"—")</f>
        <v/>
      </c>
      <c r="E180" s="69" t="str">
        <f aca="false">IFERROR(IF(Análisis!$K$21="🟡 SOBRESTOCK",Análisis!E21,""),"—")</f>
        <v/>
      </c>
      <c r="F180" s="70" t="str">
        <f aca="false">IFERROR(IF(Análisis!$K$21="🟡 SOBRESTOCK",Análisis!F21,""),"—")</f>
        <v/>
      </c>
      <c r="G180" s="67" t="str">
        <f aca="false">IFERROR(IF(Análisis!$K$21="🟡 SOBRESTOCK",Análisis!I21,""),"—")</f>
        <v/>
      </c>
      <c r="H180" s="67" t="str">
        <f aca="false">IFERROR(IF(Análisis!$K$21="🟡 SOBRESTOCK",Análisis!M21,""),"—")</f>
        <v/>
      </c>
      <c r="I180" s="71" t="str">
        <f aca="false">IFERROR(IF(Análisis!$K$21="🟡 SOBRESTOCK",Análisis!H21,""),"—")</f>
        <v/>
      </c>
      <c r="J180" s="67" t="str">
        <f aca="false">IFERROR(IF(Análisis!$K$21="🟡 SOBRESTOCK",Análisis!O21,""),"—")</f>
        <v/>
      </c>
    </row>
    <row r="181" customFormat="false" ht="15.75" hidden="false" customHeight="true" outlineLevel="0" collapsed="false">
      <c r="A181" s="67" t="str">
        <f aca="false">IFERROR(IF(Análisis!$K$22="🟡 SOBRESTOCK",Análisis!A22,""),"—")</f>
        <v/>
      </c>
      <c r="B181" s="68" t="str">
        <f aca="false">IFERROR(IF(Análisis!$K$22="🟡 SOBRESTOCK",Análisis!B22,""),"—")</f>
        <v/>
      </c>
      <c r="C181" s="67" t="str">
        <f aca="false">IFERROR(IF(Análisis!$K$22="🟡 SOBRESTOCK",Análisis!C22,""),"—")</f>
        <v/>
      </c>
      <c r="D181" s="67" t="str">
        <f aca="false">IFERROR(IF(Análisis!$K$22="🟡 SOBRESTOCK",Análisis!D22,""),"—")</f>
        <v/>
      </c>
      <c r="E181" s="69" t="str">
        <f aca="false">IFERROR(IF(Análisis!$K$22="🟡 SOBRESTOCK",Análisis!E22,""),"—")</f>
        <v/>
      </c>
      <c r="F181" s="70" t="str">
        <f aca="false">IFERROR(IF(Análisis!$K$22="🟡 SOBRESTOCK",Análisis!F22,""),"—")</f>
        <v/>
      </c>
      <c r="G181" s="67" t="str">
        <f aca="false">IFERROR(IF(Análisis!$K$22="🟡 SOBRESTOCK",Análisis!I22,""),"—")</f>
        <v/>
      </c>
      <c r="H181" s="67" t="str">
        <f aca="false">IFERROR(IF(Análisis!$K$22="🟡 SOBRESTOCK",Análisis!M22,""),"—")</f>
        <v/>
      </c>
      <c r="I181" s="71" t="str">
        <f aca="false">IFERROR(IF(Análisis!$K$22="🟡 SOBRESTOCK",Análisis!H22,""),"—")</f>
        <v/>
      </c>
      <c r="J181" s="67" t="str">
        <f aca="false">IFERROR(IF(Análisis!$K$22="🟡 SOBRESTOCK",Análisis!O22,""),"—")</f>
        <v/>
      </c>
    </row>
    <row r="182" customFormat="false" ht="15.75" hidden="false" customHeight="true" outlineLevel="0" collapsed="false">
      <c r="A182" s="67" t="str">
        <f aca="false">IFERROR(IF(Análisis!$K$23="🟡 SOBRESTOCK",Análisis!A23,""),"—")</f>
        <v>SKU-019</v>
      </c>
      <c r="B182" s="68" t="str">
        <f aca="false">IFERROR(IF(Análisis!$K$23="🟡 SOBRESTOCK",Análisis!B23,""),"—")</f>
        <v>Galletitas Crackers 200g</v>
      </c>
      <c r="C182" s="67" t="str">
        <f aca="false">IFERROR(IF(Análisis!$K$23="🟡 SOBRESTOCK",Análisis!C23,""),"—")</f>
        <v>Alimentos Secos</v>
      </c>
      <c r="D182" s="67" t="n">
        <f aca="false">IFERROR(IF(Análisis!$K$23="🟡 SOBRESTOCK",Análisis!D23,""),"—")</f>
        <v>710</v>
      </c>
      <c r="E182" s="69" t="n">
        <f aca="false">IFERROR(IF(Análisis!$K$23="🟡 SOBRESTOCK",Análisis!E23,""),"—")</f>
        <v>152.833333333333</v>
      </c>
      <c r="F182" s="70" t="n">
        <f aca="false">IFERROR(IF(Análisis!$K$23="🟡 SOBRESTOCK",Análisis!F23,""),"—")</f>
        <v>139.367502726281</v>
      </c>
      <c r="G182" s="67" t="n">
        <f aca="false">IFERROR(IF(Análisis!$K$23="🟡 SOBRESTOCK",Análisis!I23,""),"—")</f>
        <v>39</v>
      </c>
      <c r="H182" s="67" t="str">
        <f aca="false">IFERROR(IF(Análisis!$K$23="🟡 SOBRESTOCK",Análisis!M23,""),"—")</f>
        <v>B</v>
      </c>
      <c r="I182" s="71" t="n">
        <f aca="false">IFERROR(IF(Análisis!$K$23="🟡 SOBRESTOCK",Análisis!H23,""),"—")</f>
        <v>1242.5</v>
      </c>
      <c r="J182" s="67" t="str">
        <f aca="false">IFERROR(IF(Análisis!$K$23="🟡 SOBRESTOCK",Análisis!O23,""),"—")</f>
        <v>Reducir próxima compra</v>
      </c>
    </row>
    <row r="183" customFormat="false" ht="15.75" hidden="false" customHeight="true" outlineLevel="0" collapsed="false">
      <c r="A183" s="67" t="str">
        <f aca="false">IFERROR(IF(Análisis!$K$24="🟡 SOBRESTOCK",Análisis!A24,""),"—")</f>
        <v/>
      </c>
      <c r="B183" s="68" t="str">
        <f aca="false">IFERROR(IF(Análisis!$K$24="🟡 SOBRESTOCK",Análisis!B24,""),"—")</f>
        <v/>
      </c>
      <c r="C183" s="67" t="str">
        <f aca="false">IFERROR(IF(Análisis!$K$24="🟡 SOBRESTOCK",Análisis!C24,""),"—")</f>
        <v/>
      </c>
      <c r="D183" s="67" t="str">
        <f aca="false">IFERROR(IF(Análisis!$K$24="🟡 SOBRESTOCK",Análisis!D24,""),"—")</f>
        <v/>
      </c>
      <c r="E183" s="69" t="str">
        <f aca="false">IFERROR(IF(Análisis!$K$24="🟡 SOBRESTOCK",Análisis!E24,""),"—")</f>
        <v/>
      </c>
      <c r="F183" s="70" t="str">
        <f aca="false">IFERROR(IF(Análisis!$K$24="🟡 SOBRESTOCK",Análisis!F24,""),"—")</f>
        <v/>
      </c>
      <c r="G183" s="67" t="str">
        <f aca="false">IFERROR(IF(Análisis!$K$24="🟡 SOBRESTOCK",Análisis!I24,""),"—")</f>
        <v/>
      </c>
      <c r="H183" s="67" t="str">
        <f aca="false">IFERROR(IF(Análisis!$K$24="🟡 SOBRESTOCK",Análisis!M24,""),"—")</f>
        <v/>
      </c>
      <c r="I183" s="71" t="str">
        <f aca="false">IFERROR(IF(Análisis!$K$24="🟡 SOBRESTOCK",Análisis!H24,""),"—")</f>
        <v/>
      </c>
      <c r="J183" s="67" t="str">
        <f aca="false">IFERROR(IF(Análisis!$K$24="🟡 SOBRESTOCK",Análisis!O24,""),"—")</f>
        <v/>
      </c>
    </row>
    <row r="184" customFormat="false" ht="15.75" hidden="false" customHeight="true" outlineLevel="0" collapsed="false">
      <c r="A184" s="67" t="str">
        <f aca="false">IFERROR(IF(Análisis!$K$25="🟡 SOBRESTOCK",Análisis!A25,""),"—")</f>
        <v/>
      </c>
      <c r="B184" s="68" t="str">
        <f aca="false">IFERROR(IF(Análisis!$K$25="🟡 SOBRESTOCK",Análisis!B25,""),"—")</f>
        <v/>
      </c>
      <c r="C184" s="67" t="str">
        <f aca="false">IFERROR(IF(Análisis!$K$25="🟡 SOBRESTOCK",Análisis!C25,""),"—")</f>
        <v/>
      </c>
      <c r="D184" s="67" t="str">
        <f aca="false">IFERROR(IF(Análisis!$K$25="🟡 SOBRESTOCK",Análisis!D25,""),"—")</f>
        <v/>
      </c>
      <c r="E184" s="69" t="str">
        <f aca="false">IFERROR(IF(Análisis!$K$25="🟡 SOBRESTOCK",Análisis!E25,""),"—")</f>
        <v/>
      </c>
      <c r="F184" s="70" t="str">
        <f aca="false">IFERROR(IF(Análisis!$K$25="🟡 SOBRESTOCK",Análisis!F25,""),"—")</f>
        <v/>
      </c>
      <c r="G184" s="67" t="str">
        <f aca="false">IFERROR(IF(Análisis!$K$25="🟡 SOBRESTOCK",Análisis!I25,""),"—")</f>
        <v/>
      </c>
      <c r="H184" s="67" t="str">
        <f aca="false">IFERROR(IF(Análisis!$K$25="🟡 SOBRESTOCK",Análisis!M25,""),"—")</f>
        <v/>
      </c>
      <c r="I184" s="71" t="str">
        <f aca="false">IFERROR(IF(Análisis!$K$25="🟡 SOBRESTOCK",Análisis!H25,""),"—")</f>
        <v/>
      </c>
      <c r="J184" s="67" t="str">
        <f aca="false">IFERROR(IF(Análisis!$K$25="🟡 SOBRESTOCK",Análisis!O25,""),"—")</f>
        <v/>
      </c>
    </row>
    <row r="185" customFormat="false" ht="15.75" hidden="false" customHeight="true" outlineLevel="0" collapsed="false">
      <c r="A185" s="67" t="str">
        <f aca="false">IFERROR(IF(Análisis!$K$26="🟡 SOBRESTOCK",Análisis!A26,""),"—")</f>
        <v/>
      </c>
      <c r="B185" s="68" t="str">
        <f aca="false">IFERROR(IF(Análisis!$K$26="🟡 SOBRESTOCK",Análisis!B26,""),"—")</f>
        <v/>
      </c>
      <c r="C185" s="67" t="str">
        <f aca="false">IFERROR(IF(Análisis!$K$26="🟡 SOBRESTOCK",Análisis!C26,""),"—")</f>
        <v/>
      </c>
      <c r="D185" s="67" t="str">
        <f aca="false">IFERROR(IF(Análisis!$K$26="🟡 SOBRESTOCK",Análisis!D26,""),"—")</f>
        <v/>
      </c>
      <c r="E185" s="69" t="str">
        <f aca="false">IFERROR(IF(Análisis!$K$26="🟡 SOBRESTOCK",Análisis!E26,""),"—")</f>
        <v/>
      </c>
      <c r="F185" s="70" t="str">
        <f aca="false">IFERROR(IF(Análisis!$K$26="🟡 SOBRESTOCK",Análisis!F26,""),"—")</f>
        <v/>
      </c>
      <c r="G185" s="67" t="str">
        <f aca="false">IFERROR(IF(Análisis!$K$26="🟡 SOBRESTOCK",Análisis!I26,""),"—")</f>
        <v/>
      </c>
      <c r="H185" s="67" t="str">
        <f aca="false">IFERROR(IF(Análisis!$K$26="🟡 SOBRESTOCK",Análisis!M26,""),"—")</f>
        <v/>
      </c>
      <c r="I185" s="71" t="str">
        <f aca="false">IFERROR(IF(Análisis!$K$26="🟡 SOBRESTOCK",Análisis!H26,""),"—")</f>
        <v/>
      </c>
      <c r="J185" s="67" t="str">
        <f aca="false">IFERROR(IF(Análisis!$K$26="🟡 SOBRESTOCK",Análisis!O26,""),"—")</f>
        <v/>
      </c>
    </row>
    <row r="186" customFormat="false" ht="15.75" hidden="false" customHeight="true" outlineLevel="0" collapsed="false">
      <c r="A186" s="67" t="str">
        <f aca="false">IFERROR(IF(Análisis!$K$27="🟡 SOBRESTOCK",Análisis!A27,""),"—")</f>
        <v/>
      </c>
      <c r="B186" s="68" t="str">
        <f aca="false">IFERROR(IF(Análisis!$K$27="🟡 SOBRESTOCK",Análisis!B27,""),"—")</f>
        <v/>
      </c>
      <c r="C186" s="67" t="str">
        <f aca="false">IFERROR(IF(Análisis!$K$27="🟡 SOBRESTOCK",Análisis!C27,""),"—")</f>
        <v/>
      </c>
      <c r="D186" s="67" t="str">
        <f aca="false">IFERROR(IF(Análisis!$K$27="🟡 SOBRESTOCK",Análisis!D27,""),"—")</f>
        <v/>
      </c>
      <c r="E186" s="69" t="str">
        <f aca="false">IFERROR(IF(Análisis!$K$27="🟡 SOBRESTOCK",Análisis!E27,""),"—")</f>
        <v/>
      </c>
      <c r="F186" s="70" t="str">
        <f aca="false">IFERROR(IF(Análisis!$K$27="🟡 SOBRESTOCK",Análisis!F27,""),"—")</f>
        <v/>
      </c>
      <c r="G186" s="67" t="str">
        <f aca="false">IFERROR(IF(Análisis!$K$27="🟡 SOBRESTOCK",Análisis!I27,""),"—")</f>
        <v/>
      </c>
      <c r="H186" s="67" t="str">
        <f aca="false">IFERROR(IF(Análisis!$K$27="🟡 SOBRESTOCK",Análisis!M27,""),"—")</f>
        <v/>
      </c>
      <c r="I186" s="71" t="str">
        <f aca="false">IFERROR(IF(Análisis!$K$27="🟡 SOBRESTOCK",Análisis!H27,""),"—")</f>
        <v/>
      </c>
      <c r="J186" s="67" t="str">
        <f aca="false">IFERROR(IF(Análisis!$K$27="🟡 SOBRESTOCK",Análisis!O27,""),"—")</f>
        <v/>
      </c>
    </row>
    <row r="187" customFormat="false" ht="15.75" hidden="false" customHeight="true" outlineLevel="0" collapsed="false">
      <c r="A187" s="67" t="str">
        <f aca="false">IFERROR(IF(Análisis!$K$28="🟡 SOBRESTOCK",Análisis!A28,""),"—")</f>
        <v/>
      </c>
      <c r="B187" s="68" t="str">
        <f aca="false">IFERROR(IF(Análisis!$K$28="🟡 SOBRESTOCK",Análisis!B28,""),"—")</f>
        <v/>
      </c>
      <c r="C187" s="67" t="str">
        <f aca="false">IFERROR(IF(Análisis!$K$28="🟡 SOBRESTOCK",Análisis!C28,""),"—")</f>
        <v/>
      </c>
      <c r="D187" s="67" t="str">
        <f aca="false">IFERROR(IF(Análisis!$K$28="🟡 SOBRESTOCK",Análisis!D28,""),"—")</f>
        <v/>
      </c>
      <c r="E187" s="69" t="str">
        <f aca="false">IFERROR(IF(Análisis!$K$28="🟡 SOBRESTOCK",Análisis!E28,""),"—")</f>
        <v/>
      </c>
      <c r="F187" s="70" t="str">
        <f aca="false">IFERROR(IF(Análisis!$K$28="🟡 SOBRESTOCK",Análisis!F28,""),"—")</f>
        <v/>
      </c>
      <c r="G187" s="67" t="str">
        <f aca="false">IFERROR(IF(Análisis!$K$28="🟡 SOBRESTOCK",Análisis!I28,""),"—")</f>
        <v/>
      </c>
      <c r="H187" s="67" t="str">
        <f aca="false">IFERROR(IF(Análisis!$K$28="🟡 SOBRESTOCK",Análisis!M28,""),"—")</f>
        <v/>
      </c>
      <c r="I187" s="71" t="str">
        <f aca="false">IFERROR(IF(Análisis!$K$28="🟡 SOBRESTOCK",Análisis!H28,""),"—")</f>
        <v/>
      </c>
      <c r="J187" s="67" t="str">
        <f aca="false">IFERROR(IF(Análisis!$K$28="🟡 SOBRESTOCK",Análisis!O28,""),"—")</f>
        <v/>
      </c>
    </row>
    <row r="188" customFormat="false" ht="15.75" hidden="false" customHeight="true" outlineLevel="0" collapsed="false">
      <c r="A188" s="67" t="str">
        <f aca="false">IFERROR(IF(Análisis!$K$29="🟡 SOBRESTOCK",Análisis!A29,""),"—")</f>
        <v/>
      </c>
      <c r="B188" s="68" t="str">
        <f aca="false">IFERROR(IF(Análisis!$K$29="🟡 SOBRESTOCK",Análisis!B29,""),"—")</f>
        <v/>
      </c>
      <c r="C188" s="67" t="str">
        <f aca="false">IFERROR(IF(Análisis!$K$29="🟡 SOBRESTOCK",Análisis!C29,""),"—")</f>
        <v/>
      </c>
      <c r="D188" s="67" t="str">
        <f aca="false">IFERROR(IF(Análisis!$K$29="🟡 SOBRESTOCK",Análisis!D29,""),"—")</f>
        <v/>
      </c>
      <c r="E188" s="69" t="str">
        <f aca="false">IFERROR(IF(Análisis!$K$29="🟡 SOBRESTOCK",Análisis!E29,""),"—")</f>
        <v/>
      </c>
      <c r="F188" s="70" t="str">
        <f aca="false">IFERROR(IF(Análisis!$K$29="🟡 SOBRESTOCK",Análisis!F29,""),"—")</f>
        <v/>
      </c>
      <c r="G188" s="67" t="str">
        <f aca="false">IFERROR(IF(Análisis!$K$29="🟡 SOBRESTOCK",Análisis!I29,""),"—")</f>
        <v/>
      </c>
      <c r="H188" s="67" t="str">
        <f aca="false">IFERROR(IF(Análisis!$K$29="🟡 SOBRESTOCK",Análisis!M29,""),"—")</f>
        <v/>
      </c>
      <c r="I188" s="71" t="str">
        <f aca="false">IFERROR(IF(Análisis!$K$29="🟡 SOBRESTOCK",Análisis!H29,""),"—")</f>
        <v/>
      </c>
      <c r="J188" s="67" t="str">
        <f aca="false">IFERROR(IF(Análisis!$K$29="🟡 SOBRESTOCK",Análisis!O29,""),"—")</f>
        <v/>
      </c>
    </row>
    <row r="189" customFormat="false" ht="15.75" hidden="false" customHeight="true" outlineLevel="0" collapsed="false">
      <c r="A189" s="67" t="str">
        <f aca="false">IFERROR(IF(Análisis!$K$30="🟡 SOBRESTOCK",Análisis!A30,""),"—")</f>
        <v>SKU-026</v>
      </c>
      <c r="B189" s="68" t="str">
        <f aca="false">IFERROR(IF(Análisis!$K$30="🟡 SOBRESTOCK",Análisis!B30,""),"—")</f>
        <v>Lavandina Concentrada 1L</v>
      </c>
      <c r="C189" s="67" t="str">
        <f aca="false">IFERROR(IF(Análisis!$K$30="🟡 SOBRESTOCK",Análisis!C30,""),"—")</f>
        <v>Limpieza del Hogar</v>
      </c>
      <c r="D189" s="67" t="n">
        <f aca="false">IFERROR(IF(Análisis!$K$30="🟡 SOBRESTOCK",Análisis!D30,""),"—")</f>
        <v>267</v>
      </c>
      <c r="E189" s="69" t="n">
        <f aca="false">IFERROR(IF(Análisis!$K$30="🟡 SOBRESTOCK",Análisis!E30,""),"—")</f>
        <v>55.3333333333333</v>
      </c>
      <c r="F189" s="70" t="n">
        <f aca="false">IFERROR(IF(Análisis!$K$30="🟡 SOBRESTOCK",Análisis!F30,""),"—")</f>
        <v>144.759036144578</v>
      </c>
      <c r="G189" s="67" t="n">
        <f aca="false">IFERROR(IF(Análisis!$K$30="🟡 SOBRESTOCK",Análisis!I30,""),"—")</f>
        <v>11</v>
      </c>
      <c r="H189" s="67" t="str">
        <f aca="false">IFERROR(IF(Análisis!$K$30="🟡 SOBRESTOCK",Análisis!M30,""),"—")</f>
        <v>C</v>
      </c>
      <c r="I189" s="71" t="n">
        <f aca="false">IFERROR(IF(Análisis!$K$30="🟡 SOBRESTOCK",Análisis!H30,""),"—")</f>
        <v>320.4</v>
      </c>
      <c r="J189" s="67" t="str">
        <f aca="false">IFERROR(IF(Análisis!$K$30="🟡 SOBRESTOCK",Análisis!O30,""),"—")</f>
        <v>Reducir próxima compra</v>
      </c>
    </row>
    <row r="190" customFormat="false" ht="15.75" hidden="false" customHeight="true" outlineLevel="0" collapsed="false">
      <c r="A190" s="67" t="str">
        <f aca="false">IFERROR(IF(Análisis!$K$31="🟡 SOBRESTOCK",Análisis!A31,""),"—")</f>
        <v/>
      </c>
      <c r="B190" s="68" t="str">
        <f aca="false">IFERROR(IF(Análisis!$K$31="🟡 SOBRESTOCK",Análisis!B31,""),"—")</f>
        <v/>
      </c>
      <c r="C190" s="67" t="str">
        <f aca="false">IFERROR(IF(Análisis!$K$31="🟡 SOBRESTOCK",Análisis!C31,""),"—")</f>
        <v/>
      </c>
      <c r="D190" s="67" t="str">
        <f aca="false">IFERROR(IF(Análisis!$K$31="🟡 SOBRESTOCK",Análisis!D31,""),"—")</f>
        <v/>
      </c>
      <c r="E190" s="69" t="str">
        <f aca="false">IFERROR(IF(Análisis!$K$31="🟡 SOBRESTOCK",Análisis!E31,""),"—")</f>
        <v/>
      </c>
      <c r="F190" s="70" t="str">
        <f aca="false">IFERROR(IF(Análisis!$K$31="🟡 SOBRESTOCK",Análisis!F31,""),"—")</f>
        <v/>
      </c>
      <c r="G190" s="67" t="str">
        <f aca="false">IFERROR(IF(Análisis!$K$31="🟡 SOBRESTOCK",Análisis!I31,""),"—")</f>
        <v/>
      </c>
      <c r="H190" s="67" t="str">
        <f aca="false">IFERROR(IF(Análisis!$K$31="🟡 SOBRESTOCK",Análisis!M31,""),"—")</f>
        <v/>
      </c>
      <c r="I190" s="71" t="str">
        <f aca="false">IFERROR(IF(Análisis!$K$31="🟡 SOBRESTOCK",Análisis!H31,""),"—")</f>
        <v/>
      </c>
      <c r="J190" s="67" t="str">
        <f aca="false">IFERROR(IF(Análisis!$K$31="🟡 SOBRESTOCK",Análisis!O31,""),"—")</f>
        <v/>
      </c>
    </row>
    <row r="191" customFormat="false" ht="15.75" hidden="false" customHeight="true" outlineLevel="0" collapsed="false">
      <c r="A191" s="67" t="str">
        <f aca="false">IFERROR(IF(Análisis!$K$32="🟡 SOBRESTOCK",Análisis!A32,""),"—")</f>
        <v/>
      </c>
      <c r="B191" s="68" t="str">
        <f aca="false">IFERROR(IF(Análisis!$K$32="🟡 SOBRESTOCK",Análisis!B32,""),"—")</f>
        <v/>
      </c>
      <c r="C191" s="67" t="str">
        <f aca="false">IFERROR(IF(Análisis!$K$32="🟡 SOBRESTOCK",Análisis!C32,""),"—")</f>
        <v/>
      </c>
      <c r="D191" s="67" t="str">
        <f aca="false">IFERROR(IF(Análisis!$K$32="🟡 SOBRESTOCK",Análisis!D32,""),"—")</f>
        <v/>
      </c>
      <c r="E191" s="69" t="str">
        <f aca="false">IFERROR(IF(Análisis!$K$32="🟡 SOBRESTOCK",Análisis!E32,""),"—")</f>
        <v/>
      </c>
      <c r="F191" s="70" t="str">
        <f aca="false">IFERROR(IF(Análisis!$K$32="🟡 SOBRESTOCK",Análisis!F32,""),"—")</f>
        <v/>
      </c>
      <c r="G191" s="67" t="str">
        <f aca="false">IFERROR(IF(Análisis!$K$32="🟡 SOBRESTOCK",Análisis!I32,""),"—")</f>
        <v/>
      </c>
      <c r="H191" s="67" t="str">
        <f aca="false">IFERROR(IF(Análisis!$K$32="🟡 SOBRESTOCK",Análisis!M32,""),"—")</f>
        <v/>
      </c>
      <c r="I191" s="71" t="str">
        <f aca="false">IFERROR(IF(Análisis!$K$32="🟡 SOBRESTOCK",Análisis!H32,""),"—")</f>
        <v/>
      </c>
      <c r="J191" s="67" t="str">
        <f aca="false">IFERROR(IF(Análisis!$K$32="🟡 SOBRESTOCK",Análisis!O32,""),"—")</f>
        <v/>
      </c>
    </row>
    <row r="192" customFormat="false" ht="15.75" hidden="false" customHeight="true" outlineLevel="0" collapsed="false">
      <c r="A192" s="67" t="str">
        <f aca="false">IFERROR(IF(Análisis!$K$33="🟡 SOBRESTOCK",Análisis!A33,""),"—")</f>
        <v/>
      </c>
      <c r="B192" s="68" t="str">
        <f aca="false">IFERROR(IF(Análisis!$K$33="🟡 SOBRESTOCK",Análisis!B33,""),"—")</f>
        <v/>
      </c>
      <c r="C192" s="67" t="str">
        <f aca="false">IFERROR(IF(Análisis!$K$33="🟡 SOBRESTOCK",Análisis!C33,""),"—")</f>
        <v/>
      </c>
      <c r="D192" s="67" t="str">
        <f aca="false">IFERROR(IF(Análisis!$K$33="🟡 SOBRESTOCK",Análisis!D33,""),"—")</f>
        <v/>
      </c>
      <c r="E192" s="69" t="str">
        <f aca="false">IFERROR(IF(Análisis!$K$33="🟡 SOBRESTOCK",Análisis!E33,""),"—")</f>
        <v/>
      </c>
      <c r="F192" s="70" t="str">
        <f aca="false">IFERROR(IF(Análisis!$K$33="🟡 SOBRESTOCK",Análisis!F33,""),"—")</f>
        <v/>
      </c>
      <c r="G192" s="67" t="str">
        <f aca="false">IFERROR(IF(Análisis!$K$33="🟡 SOBRESTOCK",Análisis!I33,""),"—")</f>
        <v/>
      </c>
      <c r="H192" s="67" t="str">
        <f aca="false">IFERROR(IF(Análisis!$K$33="🟡 SOBRESTOCK",Análisis!M33,""),"—")</f>
        <v/>
      </c>
      <c r="I192" s="71" t="str">
        <f aca="false">IFERROR(IF(Análisis!$K$33="🟡 SOBRESTOCK",Análisis!H33,""),"—")</f>
        <v/>
      </c>
      <c r="J192" s="67" t="str">
        <f aca="false">IFERROR(IF(Análisis!$K$33="🟡 SOBRESTOCK",Análisis!O33,""),"—")</f>
        <v/>
      </c>
    </row>
    <row r="193" customFormat="false" ht="15.75" hidden="false" customHeight="true" outlineLevel="0" collapsed="false">
      <c r="A193" s="67" t="str">
        <f aca="false">IFERROR(IF(Análisis!$K$34="🟡 SOBRESTOCK",Análisis!A34,""),"—")</f>
        <v/>
      </c>
      <c r="B193" s="68" t="str">
        <f aca="false">IFERROR(IF(Análisis!$K$34="🟡 SOBRESTOCK",Análisis!B34,""),"—")</f>
        <v/>
      </c>
      <c r="C193" s="67" t="str">
        <f aca="false">IFERROR(IF(Análisis!$K$34="🟡 SOBRESTOCK",Análisis!C34,""),"—")</f>
        <v/>
      </c>
      <c r="D193" s="67" t="str">
        <f aca="false">IFERROR(IF(Análisis!$K$34="🟡 SOBRESTOCK",Análisis!D34,""),"—")</f>
        <v/>
      </c>
      <c r="E193" s="69" t="str">
        <f aca="false">IFERROR(IF(Análisis!$K$34="🟡 SOBRESTOCK",Análisis!E34,""),"—")</f>
        <v/>
      </c>
      <c r="F193" s="70" t="str">
        <f aca="false">IFERROR(IF(Análisis!$K$34="🟡 SOBRESTOCK",Análisis!F34,""),"—")</f>
        <v/>
      </c>
      <c r="G193" s="67" t="str">
        <f aca="false">IFERROR(IF(Análisis!$K$34="🟡 SOBRESTOCK",Análisis!I34,""),"—")</f>
        <v/>
      </c>
      <c r="H193" s="67" t="str">
        <f aca="false">IFERROR(IF(Análisis!$K$34="🟡 SOBRESTOCK",Análisis!M34,""),"—")</f>
        <v/>
      </c>
      <c r="I193" s="71" t="str">
        <f aca="false">IFERROR(IF(Análisis!$K$34="🟡 SOBRESTOCK",Análisis!H34,""),"—")</f>
        <v/>
      </c>
      <c r="J193" s="67" t="str">
        <f aca="false">IFERROR(IF(Análisis!$K$34="🟡 SOBRESTOCK",Análisis!O34,""),"—")</f>
        <v/>
      </c>
    </row>
    <row r="194" customFormat="false" ht="15.75" hidden="false" customHeight="true" outlineLevel="0" collapsed="false">
      <c r="A194" s="67" t="str">
        <f aca="false">IFERROR(IF(Análisis!$K$35="🟡 SOBRESTOCK",Análisis!A35,""),"—")</f>
        <v/>
      </c>
      <c r="B194" s="68" t="str">
        <f aca="false">IFERROR(IF(Análisis!$K$35="🟡 SOBRESTOCK",Análisis!B35,""),"—")</f>
        <v/>
      </c>
      <c r="C194" s="67" t="str">
        <f aca="false">IFERROR(IF(Análisis!$K$35="🟡 SOBRESTOCK",Análisis!C35,""),"—")</f>
        <v/>
      </c>
      <c r="D194" s="67" t="str">
        <f aca="false">IFERROR(IF(Análisis!$K$35="🟡 SOBRESTOCK",Análisis!D35,""),"—")</f>
        <v/>
      </c>
      <c r="E194" s="69" t="str">
        <f aca="false">IFERROR(IF(Análisis!$K$35="🟡 SOBRESTOCK",Análisis!E35,""),"—")</f>
        <v/>
      </c>
      <c r="F194" s="70" t="str">
        <f aca="false">IFERROR(IF(Análisis!$K$35="🟡 SOBRESTOCK",Análisis!F35,""),"—")</f>
        <v/>
      </c>
      <c r="G194" s="67" t="str">
        <f aca="false">IFERROR(IF(Análisis!$K$35="🟡 SOBRESTOCK",Análisis!I35,""),"—")</f>
        <v/>
      </c>
      <c r="H194" s="67" t="str">
        <f aca="false">IFERROR(IF(Análisis!$K$35="🟡 SOBRESTOCK",Análisis!M35,""),"—")</f>
        <v/>
      </c>
      <c r="I194" s="71" t="str">
        <f aca="false">IFERROR(IF(Análisis!$K$35="🟡 SOBRESTOCK",Análisis!H35,""),"—")</f>
        <v/>
      </c>
      <c r="J194" s="67" t="str">
        <f aca="false">IFERROR(IF(Análisis!$K$35="🟡 SOBRESTOCK",Análisis!O35,""),"—")</f>
        <v/>
      </c>
    </row>
    <row r="195" customFormat="false" ht="15.75" hidden="false" customHeight="true" outlineLevel="0" collapsed="false">
      <c r="A195" s="67" t="str">
        <f aca="false">IFERROR(IF(Análisis!$K$36="🟡 SOBRESTOCK",Análisis!A36,""),"—")</f>
        <v/>
      </c>
      <c r="B195" s="68" t="str">
        <f aca="false">IFERROR(IF(Análisis!$K$36="🟡 SOBRESTOCK",Análisis!B36,""),"—")</f>
        <v/>
      </c>
      <c r="C195" s="67" t="str">
        <f aca="false">IFERROR(IF(Análisis!$K$36="🟡 SOBRESTOCK",Análisis!C36,""),"—")</f>
        <v/>
      </c>
      <c r="D195" s="67" t="str">
        <f aca="false">IFERROR(IF(Análisis!$K$36="🟡 SOBRESTOCK",Análisis!D36,""),"—")</f>
        <v/>
      </c>
      <c r="E195" s="69" t="str">
        <f aca="false">IFERROR(IF(Análisis!$K$36="🟡 SOBRESTOCK",Análisis!E36,""),"—")</f>
        <v/>
      </c>
      <c r="F195" s="70" t="str">
        <f aca="false">IFERROR(IF(Análisis!$K$36="🟡 SOBRESTOCK",Análisis!F36,""),"—")</f>
        <v/>
      </c>
      <c r="G195" s="67" t="str">
        <f aca="false">IFERROR(IF(Análisis!$K$36="🟡 SOBRESTOCK",Análisis!I36,""),"—")</f>
        <v/>
      </c>
      <c r="H195" s="67" t="str">
        <f aca="false">IFERROR(IF(Análisis!$K$36="🟡 SOBRESTOCK",Análisis!M36,""),"—")</f>
        <v/>
      </c>
      <c r="I195" s="71" t="str">
        <f aca="false">IFERROR(IF(Análisis!$K$36="🟡 SOBRESTOCK",Análisis!H36,""),"—")</f>
        <v/>
      </c>
      <c r="J195" s="67" t="str">
        <f aca="false">IFERROR(IF(Análisis!$K$36="🟡 SOBRESTOCK",Análisis!O36,""),"—")</f>
        <v/>
      </c>
    </row>
    <row r="196" customFormat="false" ht="15.75" hidden="false" customHeight="true" outlineLevel="0" collapsed="false">
      <c r="A196" s="67" t="str">
        <f aca="false">IFERROR(IF(Análisis!$K$37="🟡 SOBRESTOCK",Análisis!A37,""),"—")</f>
        <v/>
      </c>
      <c r="B196" s="68" t="str">
        <f aca="false">IFERROR(IF(Análisis!$K$37="🟡 SOBRESTOCK",Análisis!B37,""),"—")</f>
        <v/>
      </c>
      <c r="C196" s="67" t="str">
        <f aca="false">IFERROR(IF(Análisis!$K$37="🟡 SOBRESTOCK",Análisis!C37,""),"—")</f>
        <v/>
      </c>
      <c r="D196" s="67" t="str">
        <f aca="false">IFERROR(IF(Análisis!$K$37="🟡 SOBRESTOCK",Análisis!D37,""),"—")</f>
        <v/>
      </c>
      <c r="E196" s="69" t="str">
        <f aca="false">IFERROR(IF(Análisis!$K$37="🟡 SOBRESTOCK",Análisis!E37,""),"—")</f>
        <v/>
      </c>
      <c r="F196" s="70" t="str">
        <f aca="false">IFERROR(IF(Análisis!$K$37="🟡 SOBRESTOCK",Análisis!F37,""),"—")</f>
        <v/>
      </c>
      <c r="G196" s="67" t="str">
        <f aca="false">IFERROR(IF(Análisis!$K$37="🟡 SOBRESTOCK",Análisis!I37,""),"—")</f>
        <v/>
      </c>
      <c r="H196" s="67" t="str">
        <f aca="false">IFERROR(IF(Análisis!$K$37="🟡 SOBRESTOCK",Análisis!M37,""),"—")</f>
        <v/>
      </c>
      <c r="I196" s="71" t="str">
        <f aca="false">IFERROR(IF(Análisis!$K$37="🟡 SOBRESTOCK",Análisis!H37,""),"—")</f>
        <v/>
      </c>
      <c r="J196" s="67" t="str">
        <f aca="false">IFERROR(IF(Análisis!$K$37="🟡 SOBRESTOCK",Análisis!O37,""),"—")</f>
        <v/>
      </c>
    </row>
    <row r="197" customFormat="false" ht="15.75" hidden="false" customHeight="true" outlineLevel="0" collapsed="false">
      <c r="A197" s="67" t="str">
        <f aca="false">IFERROR(IF(Análisis!$K$38="🟡 SOBRESTOCK",Análisis!A38,""),"—")</f>
        <v/>
      </c>
      <c r="B197" s="68" t="str">
        <f aca="false">IFERROR(IF(Análisis!$K$38="🟡 SOBRESTOCK",Análisis!B38,""),"—")</f>
        <v/>
      </c>
      <c r="C197" s="67" t="str">
        <f aca="false">IFERROR(IF(Análisis!$K$38="🟡 SOBRESTOCK",Análisis!C38,""),"—")</f>
        <v/>
      </c>
      <c r="D197" s="67" t="str">
        <f aca="false">IFERROR(IF(Análisis!$K$38="🟡 SOBRESTOCK",Análisis!D38,""),"—")</f>
        <v/>
      </c>
      <c r="E197" s="69" t="str">
        <f aca="false">IFERROR(IF(Análisis!$K$38="🟡 SOBRESTOCK",Análisis!E38,""),"—")</f>
        <v/>
      </c>
      <c r="F197" s="70" t="str">
        <f aca="false">IFERROR(IF(Análisis!$K$38="🟡 SOBRESTOCK",Análisis!F38,""),"—")</f>
        <v/>
      </c>
      <c r="G197" s="67" t="str">
        <f aca="false">IFERROR(IF(Análisis!$K$38="🟡 SOBRESTOCK",Análisis!I38,""),"—")</f>
        <v/>
      </c>
      <c r="H197" s="67" t="str">
        <f aca="false">IFERROR(IF(Análisis!$K$38="🟡 SOBRESTOCK",Análisis!M38,""),"—")</f>
        <v/>
      </c>
      <c r="I197" s="71" t="str">
        <f aca="false">IFERROR(IF(Análisis!$K$38="🟡 SOBRESTOCK",Análisis!H38,""),"—")</f>
        <v/>
      </c>
      <c r="J197" s="67" t="str">
        <f aca="false">IFERROR(IF(Análisis!$K$38="🟡 SOBRESTOCK",Análisis!O38,""),"—")</f>
        <v/>
      </c>
    </row>
    <row r="198" customFormat="false" ht="15.75" hidden="false" customHeight="true" outlineLevel="0" collapsed="false">
      <c r="A198" s="67" t="str">
        <f aca="false">IFERROR(IF(Análisis!$K$39="🟡 SOBRESTOCK",Análisis!A39,""),"—")</f>
        <v/>
      </c>
      <c r="B198" s="68" t="str">
        <f aca="false">IFERROR(IF(Análisis!$K$39="🟡 SOBRESTOCK",Análisis!B39,""),"—")</f>
        <v/>
      </c>
      <c r="C198" s="67" t="str">
        <f aca="false">IFERROR(IF(Análisis!$K$39="🟡 SOBRESTOCK",Análisis!C39,""),"—")</f>
        <v/>
      </c>
      <c r="D198" s="67" t="str">
        <f aca="false">IFERROR(IF(Análisis!$K$39="🟡 SOBRESTOCK",Análisis!D39,""),"—")</f>
        <v/>
      </c>
      <c r="E198" s="69" t="str">
        <f aca="false">IFERROR(IF(Análisis!$K$39="🟡 SOBRESTOCK",Análisis!E39,""),"—")</f>
        <v/>
      </c>
      <c r="F198" s="70" t="str">
        <f aca="false">IFERROR(IF(Análisis!$K$39="🟡 SOBRESTOCK",Análisis!F39,""),"—")</f>
        <v/>
      </c>
      <c r="G198" s="67" t="str">
        <f aca="false">IFERROR(IF(Análisis!$K$39="🟡 SOBRESTOCK",Análisis!I39,""),"—")</f>
        <v/>
      </c>
      <c r="H198" s="67" t="str">
        <f aca="false">IFERROR(IF(Análisis!$K$39="🟡 SOBRESTOCK",Análisis!M39,""),"—")</f>
        <v/>
      </c>
      <c r="I198" s="71" t="str">
        <f aca="false">IFERROR(IF(Análisis!$K$39="🟡 SOBRESTOCK",Análisis!H39,""),"—")</f>
        <v/>
      </c>
      <c r="J198" s="67" t="str">
        <f aca="false">IFERROR(IF(Análisis!$K$39="🟡 SOBRESTOCK",Análisis!O39,""),"—")</f>
        <v/>
      </c>
    </row>
    <row r="199" customFormat="false" ht="15.75" hidden="false" customHeight="true" outlineLevel="0" collapsed="false">
      <c r="A199" s="67" t="str">
        <f aca="false">IFERROR(IF(Análisis!$K$40="🟡 SOBRESTOCK",Análisis!A40,""),"—")</f>
        <v/>
      </c>
      <c r="B199" s="68" t="str">
        <f aca="false">IFERROR(IF(Análisis!$K$40="🟡 SOBRESTOCK",Análisis!B40,""),"—")</f>
        <v/>
      </c>
      <c r="C199" s="67" t="str">
        <f aca="false">IFERROR(IF(Análisis!$K$40="🟡 SOBRESTOCK",Análisis!C40,""),"—")</f>
        <v/>
      </c>
      <c r="D199" s="67" t="str">
        <f aca="false">IFERROR(IF(Análisis!$K$40="🟡 SOBRESTOCK",Análisis!D40,""),"—")</f>
        <v/>
      </c>
      <c r="E199" s="69" t="str">
        <f aca="false">IFERROR(IF(Análisis!$K$40="🟡 SOBRESTOCK",Análisis!E40,""),"—")</f>
        <v/>
      </c>
      <c r="F199" s="70" t="str">
        <f aca="false">IFERROR(IF(Análisis!$K$40="🟡 SOBRESTOCK",Análisis!F40,""),"—")</f>
        <v/>
      </c>
      <c r="G199" s="67" t="str">
        <f aca="false">IFERROR(IF(Análisis!$K$40="🟡 SOBRESTOCK",Análisis!I40,""),"—")</f>
        <v/>
      </c>
      <c r="H199" s="67" t="str">
        <f aca="false">IFERROR(IF(Análisis!$K$40="🟡 SOBRESTOCK",Análisis!M40,""),"—")</f>
        <v/>
      </c>
      <c r="I199" s="71" t="str">
        <f aca="false">IFERROR(IF(Análisis!$K$40="🟡 SOBRESTOCK",Análisis!H40,""),"—")</f>
        <v/>
      </c>
      <c r="J199" s="67" t="str">
        <f aca="false">IFERROR(IF(Análisis!$K$40="🟡 SOBRESTOCK",Análisis!O40,""),"—")</f>
        <v/>
      </c>
    </row>
    <row r="200" customFormat="false" ht="15.75" hidden="false" customHeight="true" outlineLevel="0" collapsed="false">
      <c r="A200" s="67" t="str">
        <f aca="false">IFERROR(IF(Análisis!$K$41="🟡 SOBRESTOCK",Análisis!A41,""),"—")</f>
        <v/>
      </c>
      <c r="B200" s="68" t="str">
        <f aca="false">IFERROR(IF(Análisis!$K$41="🟡 SOBRESTOCK",Análisis!B41,""),"—")</f>
        <v/>
      </c>
      <c r="C200" s="67" t="str">
        <f aca="false">IFERROR(IF(Análisis!$K$41="🟡 SOBRESTOCK",Análisis!C41,""),"—")</f>
        <v/>
      </c>
      <c r="D200" s="67" t="str">
        <f aca="false">IFERROR(IF(Análisis!$K$41="🟡 SOBRESTOCK",Análisis!D41,""),"—")</f>
        <v/>
      </c>
      <c r="E200" s="69" t="str">
        <f aca="false">IFERROR(IF(Análisis!$K$41="🟡 SOBRESTOCK",Análisis!E41,""),"—")</f>
        <v/>
      </c>
      <c r="F200" s="70" t="str">
        <f aca="false">IFERROR(IF(Análisis!$K$41="🟡 SOBRESTOCK",Análisis!F41,""),"—")</f>
        <v/>
      </c>
      <c r="G200" s="67" t="str">
        <f aca="false">IFERROR(IF(Análisis!$K$41="🟡 SOBRESTOCK",Análisis!I41,""),"—")</f>
        <v/>
      </c>
      <c r="H200" s="67" t="str">
        <f aca="false">IFERROR(IF(Análisis!$K$41="🟡 SOBRESTOCK",Análisis!M41,""),"—")</f>
        <v/>
      </c>
      <c r="I200" s="71" t="str">
        <f aca="false">IFERROR(IF(Análisis!$K$41="🟡 SOBRESTOCK",Análisis!H41,""),"—")</f>
        <v/>
      </c>
      <c r="J200" s="67" t="str">
        <f aca="false">IFERROR(IF(Análisis!$K$41="🟡 SOBRESTOCK",Análisis!O41,""),"—")</f>
        <v/>
      </c>
    </row>
    <row r="201" customFormat="false" ht="15.75" hidden="false" customHeight="true" outlineLevel="0" collapsed="false">
      <c r="A201" s="67" t="str">
        <f aca="false">IFERROR(IF(Análisis!$K$42="🟡 SOBRESTOCK",Análisis!A42,""),"—")</f>
        <v/>
      </c>
      <c r="B201" s="68" t="str">
        <f aca="false">IFERROR(IF(Análisis!$K$42="🟡 SOBRESTOCK",Análisis!B42,""),"—")</f>
        <v/>
      </c>
      <c r="C201" s="67" t="str">
        <f aca="false">IFERROR(IF(Análisis!$K$42="🟡 SOBRESTOCK",Análisis!C42,""),"—")</f>
        <v/>
      </c>
      <c r="D201" s="67" t="str">
        <f aca="false">IFERROR(IF(Análisis!$K$42="🟡 SOBRESTOCK",Análisis!D42,""),"—")</f>
        <v/>
      </c>
      <c r="E201" s="69" t="str">
        <f aca="false">IFERROR(IF(Análisis!$K$42="🟡 SOBRESTOCK",Análisis!E42,""),"—")</f>
        <v/>
      </c>
      <c r="F201" s="70" t="str">
        <f aca="false">IFERROR(IF(Análisis!$K$42="🟡 SOBRESTOCK",Análisis!F42,""),"—")</f>
        <v/>
      </c>
      <c r="G201" s="67" t="str">
        <f aca="false">IFERROR(IF(Análisis!$K$42="🟡 SOBRESTOCK",Análisis!I42,""),"—")</f>
        <v/>
      </c>
      <c r="H201" s="67" t="str">
        <f aca="false">IFERROR(IF(Análisis!$K$42="🟡 SOBRESTOCK",Análisis!M42,""),"—")</f>
        <v/>
      </c>
      <c r="I201" s="71" t="str">
        <f aca="false">IFERROR(IF(Análisis!$K$42="🟡 SOBRESTOCK",Análisis!H42,""),"—")</f>
        <v/>
      </c>
      <c r="J201" s="67" t="str">
        <f aca="false">IFERROR(IF(Análisis!$K$42="🟡 SOBRESTOCK",Análisis!O42,""),"—")</f>
        <v/>
      </c>
    </row>
    <row r="202" customFormat="false" ht="15.75" hidden="false" customHeight="true" outlineLevel="0" collapsed="false">
      <c r="A202" s="67" t="str">
        <f aca="false">IFERROR(IF(Análisis!$K$43="🟡 SOBRESTOCK",Análisis!A43,""),"—")</f>
        <v/>
      </c>
      <c r="B202" s="68" t="str">
        <f aca="false">IFERROR(IF(Análisis!$K$43="🟡 SOBRESTOCK",Análisis!B43,""),"—")</f>
        <v/>
      </c>
      <c r="C202" s="67" t="str">
        <f aca="false">IFERROR(IF(Análisis!$K$43="🟡 SOBRESTOCK",Análisis!C43,""),"—")</f>
        <v/>
      </c>
      <c r="D202" s="67" t="str">
        <f aca="false">IFERROR(IF(Análisis!$K$43="🟡 SOBRESTOCK",Análisis!D43,""),"—")</f>
        <v/>
      </c>
      <c r="E202" s="69" t="str">
        <f aca="false">IFERROR(IF(Análisis!$K$43="🟡 SOBRESTOCK",Análisis!E43,""),"—")</f>
        <v/>
      </c>
      <c r="F202" s="70" t="str">
        <f aca="false">IFERROR(IF(Análisis!$K$43="🟡 SOBRESTOCK",Análisis!F43,""),"—")</f>
        <v/>
      </c>
      <c r="G202" s="67" t="str">
        <f aca="false">IFERROR(IF(Análisis!$K$43="🟡 SOBRESTOCK",Análisis!I43,""),"—")</f>
        <v/>
      </c>
      <c r="H202" s="67" t="str">
        <f aca="false">IFERROR(IF(Análisis!$K$43="🟡 SOBRESTOCK",Análisis!M43,""),"—")</f>
        <v/>
      </c>
      <c r="I202" s="71" t="str">
        <f aca="false">IFERROR(IF(Análisis!$K$43="🟡 SOBRESTOCK",Análisis!H43,""),"—")</f>
        <v/>
      </c>
      <c r="J202" s="67" t="str">
        <f aca="false">IFERROR(IF(Análisis!$K$43="🟡 SOBRESTOCK",Análisis!O43,""),"—")</f>
        <v/>
      </c>
    </row>
    <row r="203" customFormat="false" ht="15.75" hidden="false" customHeight="true" outlineLevel="0" collapsed="false">
      <c r="A203" s="67" t="str">
        <f aca="false">IFERROR(IF(Análisis!$K$44="🟡 SOBRESTOCK",Análisis!A44,""),"—")</f>
        <v/>
      </c>
      <c r="B203" s="68" t="str">
        <f aca="false">IFERROR(IF(Análisis!$K$44="🟡 SOBRESTOCK",Análisis!B44,""),"—")</f>
        <v/>
      </c>
      <c r="C203" s="67" t="str">
        <f aca="false">IFERROR(IF(Análisis!$K$44="🟡 SOBRESTOCK",Análisis!C44,""),"—")</f>
        <v/>
      </c>
      <c r="D203" s="67" t="str">
        <f aca="false">IFERROR(IF(Análisis!$K$44="🟡 SOBRESTOCK",Análisis!D44,""),"—")</f>
        <v/>
      </c>
      <c r="E203" s="69" t="str">
        <f aca="false">IFERROR(IF(Análisis!$K$44="🟡 SOBRESTOCK",Análisis!E44,""),"—")</f>
        <v/>
      </c>
      <c r="F203" s="70" t="str">
        <f aca="false">IFERROR(IF(Análisis!$K$44="🟡 SOBRESTOCK",Análisis!F44,""),"—")</f>
        <v/>
      </c>
      <c r="G203" s="67" t="str">
        <f aca="false">IFERROR(IF(Análisis!$K$44="🟡 SOBRESTOCK",Análisis!I44,""),"—")</f>
        <v/>
      </c>
      <c r="H203" s="67" t="str">
        <f aca="false">IFERROR(IF(Análisis!$K$44="🟡 SOBRESTOCK",Análisis!M44,""),"—")</f>
        <v/>
      </c>
      <c r="I203" s="71" t="str">
        <f aca="false">IFERROR(IF(Análisis!$K$44="🟡 SOBRESTOCK",Análisis!H44,""),"—")</f>
        <v/>
      </c>
      <c r="J203" s="67" t="str">
        <f aca="false">IFERROR(IF(Análisis!$K$44="🟡 SOBRESTOCK",Análisis!O44,""),"—")</f>
        <v/>
      </c>
    </row>
    <row r="204" customFormat="false" ht="15.75" hidden="false" customHeight="true" outlineLevel="0" collapsed="false">
      <c r="A204" s="67" t="str">
        <f aca="false">IFERROR(IF(Análisis!$K$45="🟡 SOBRESTOCK",Análisis!A45,""),"—")</f>
        <v/>
      </c>
      <c r="B204" s="68" t="str">
        <f aca="false">IFERROR(IF(Análisis!$K$45="🟡 SOBRESTOCK",Análisis!B45,""),"—")</f>
        <v/>
      </c>
      <c r="C204" s="67" t="str">
        <f aca="false">IFERROR(IF(Análisis!$K$45="🟡 SOBRESTOCK",Análisis!C45,""),"—")</f>
        <v/>
      </c>
      <c r="D204" s="67" t="str">
        <f aca="false">IFERROR(IF(Análisis!$K$45="🟡 SOBRESTOCK",Análisis!D45,""),"—")</f>
        <v/>
      </c>
      <c r="E204" s="69" t="str">
        <f aca="false">IFERROR(IF(Análisis!$K$45="🟡 SOBRESTOCK",Análisis!E45,""),"—")</f>
        <v/>
      </c>
      <c r="F204" s="70" t="str">
        <f aca="false">IFERROR(IF(Análisis!$K$45="🟡 SOBRESTOCK",Análisis!F45,""),"—")</f>
        <v/>
      </c>
      <c r="G204" s="67" t="str">
        <f aca="false">IFERROR(IF(Análisis!$K$45="🟡 SOBRESTOCK",Análisis!I45,""),"—")</f>
        <v/>
      </c>
      <c r="H204" s="67" t="str">
        <f aca="false">IFERROR(IF(Análisis!$K$45="🟡 SOBRESTOCK",Análisis!M45,""),"—")</f>
        <v/>
      </c>
      <c r="I204" s="71" t="str">
        <f aca="false">IFERROR(IF(Análisis!$K$45="🟡 SOBRESTOCK",Análisis!H45,""),"—")</f>
        <v/>
      </c>
      <c r="J204" s="67" t="str">
        <f aca="false">IFERROR(IF(Análisis!$K$45="🟡 SOBRESTOCK",Análisis!O45,""),"—")</f>
        <v/>
      </c>
    </row>
    <row r="205" customFormat="false" ht="15.75" hidden="false" customHeight="true" outlineLevel="0" collapsed="false">
      <c r="A205" s="67" t="str">
        <f aca="false">IFERROR(IF(Análisis!$K$46="🟡 SOBRESTOCK",Análisis!A46,""),"—")</f>
        <v/>
      </c>
      <c r="B205" s="68" t="str">
        <f aca="false">IFERROR(IF(Análisis!$K$46="🟡 SOBRESTOCK",Análisis!B46,""),"—")</f>
        <v/>
      </c>
      <c r="C205" s="67" t="str">
        <f aca="false">IFERROR(IF(Análisis!$K$46="🟡 SOBRESTOCK",Análisis!C46,""),"—")</f>
        <v/>
      </c>
      <c r="D205" s="67" t="str">
        <f aca="false">IFERROR(IF(Análisis!$K$46="🟡 SOBRESTOCK",Análisis!D46,""),"—")</f>
        <v/>
      </c>
      <c r="E205" s="69" t="str">
        <f aca="false">IFERROR(IF(Análisis!$K$46="🟡 SOBRESTOCK",Análisis!E46,""),"—")</f>
        <v/>
      </c>
      <c r="F205" s="70" t="str">
        <f aca="false">IFERROR(IF(Análisis!$K$46="🟡 SOBRESTOCK",Análisis!F46,""),"—")</f>
        <v/>
      </c>
      <c r="G205" s="67" t="str">
        <f aca="false">IFERROR(IF(Análisis!$K$46="🟡 SOBRESTOCK",Análisis!I46,""),"—")</f>
        <v/>
      </c>
      <c r="H205" s="67" t="str">
        <f aca="false">IFERROR(IF(Análisis!$K$46="🟡 SOBRESTOCK",Análisis!M46,""),"—")</f>
        <v/>
      </c>
      <c r="I205" s="71" t="str">
        <f aca="false">IFERROR(IF(Análisis!$K$46="🟡 SOBRESTOCK",Análisis!H46,""),"—")</f>
        <v/>
      </c>
      <c r="J205" s="67" t="str">
        <f aca="false">IFERROR(IF(Análisis!$K$46="🟡 SOBRESTOCK",Análisis!O46,""),"—")</f>
        <v/>
      </c>
    </row>
    <row r="206" customFormat="false" ht="15.75" hidden="false" customHeight="true" outlineLevel="0" collapsed="false">
      <c r="A206" s="67" t="str">
        <f aca="false">IFERROR(IF(Análisis!$K$47="🟡 SOBRESTOCK",Análisis!A47,""),"—")</f>
        <v/>
      </c>
      <c r="B206" s="68" t="str">
        <f aca="false">IFERROR(IF(Análisis!$K$47="🟡 SOBRESTOCK",Análisis!B47,""),"—")</f>
        <v/>
      </c>
      <c r="C206" s="67" t="str">
        <f aca="false">IFERROR(IF(Análisis!$K$47="🟡 SOBRESTOCK",Análisis!C47,""),"—")</f>
        <v/>
      </c>
      <c r="D206" s="67" t="str">
        <f aca="false">IFERROR(IF(Análisis!$K$47="🟡 SOBRESTOCK",Análisis!D47,""),"—")</f>
        <v/>
      </c>
      <c r="E206" s="69" t="str">
        <f aca="false">IFERROR(IF(Análisis!$K$47="🟡 SOBRESTOCK",Análisis!E47,""),"—")</f>
        <v/>
      </c>
      <c r="F206" s="70" t="str">
        <f aca="false">IFERROR(IF(Análisis!$K$47="🟡 SOBRESTOCK",Análisis!F47,""),"—")</f>
        <v/>
      </c>
      <c r="G206" s="67" t="str">
        <f aca="false">IFERROR(IF(Análisis!$K$47="🟡 SOBRESTOCK",Análisis!I47,""),"—")</f>
        <v/>
      </c>
      <c r="H206" s="67" t="str">
        <f aca="false">IFERROR(IF(Análisis!$K$47="🟡 SOBRESTOCK",Análisis!M47,""),"—")</f>
        <v/>
      </c>
      <c r="I206" s="71" t="str">
        <f aca="false">IFERROR(IF(Análisis!$K$47="🟡 SOBRESTOCK",Análisis!H47,""),"—")</f>
        <v/>
      </c>
      <c r="J206" s="67" t="str">
        <f aca="false">IFERROR(IF(Análisis!$K$47="🟡 SOBRESTOCK",Análisis!O47,""),"—")</f>
        <v/>
      </c>
    </row>
    <row r="207" customFormat="false" ht="15.75" hidden="false" customHeight="true" outlineLevel="0" collapsed="false">
      <c r="A207" s="67" t="str">
        <f aca="false">IFERROR(IF(Análisis!$K$48="🟡 SOBRESTOCK",Análisis!A48,""),"—")</f>
        <v/>
      </c>
      <c r="B207" s="68" t="str">
        <f aca="false">IFERROR(IF(Análisis!$K$48="🟡 SOBRESTOCK",Análisis!B48,""),"—")</f>
        <v/>
      </c>
      <c r="C207" s="67" t="str">
        <f aca="false">IFERROR(IF(Análisis!$K$48="🟡 SOBRESTOCK",Análisis!C48,""),"—")</f>
        <v/>
      </c>
      <c r="D207" s="67" t="str">
        <f aca="false">IFERROR(IF(Análisis!$K$48="🟡 SOBRESTOCK",Análisis!D48,""),"—")</f>
        <v/>
      </c>
      <c r="E207" s="69" t="str">
        <f aca="false">IFERROR(IF(Análisis!$K$48="🟡 SOBRESTOCK",Análisis!E48,""),"—")</f>
        <v/>
      </c>
      <c r="F207" s="70" t="str">
        <f aca="false">IFERROR(IF(Análisis!$K$48="🟡 SOBRESTOCK",Análisis!F48,""),"—")</f>
        <v/>
      </c>
      <c r="G207" s="67" t="str">
        <f aca="false">IFERROR(IF(Análisis!$K$48="🟡 SOBRESTOCK",Análisis!I48,""),"—")</f>
        <v/>
      </c>
      <c r="H207" s="67" t="str">
        <f aca="false">IFERROR(IF(Análisis!$K$48="🟡 SOBRESTOCK",Análisis!M48,""),"—")</f>
        <v/>
      </c>
      <c r="I207" s="71" t="str">
        <f aca="false">IFERROR(IF(Análisis!$K$48="🟡 SOBRESTOCK",Análisis!H48,""),"—")</f>
        <v/>
      </c>
      <c r="J207" s="67" t="str">
        <f aca="false">IFERROR(IF(Análisis!$K$48="🟡 SOBRESTOCK",Análisis!O48,""),"—")</f>
        <v/>
      </c>
    </row>
    <row r="208" customFormat="false" ht="15.75" hidden="false" customHeight="true" outlineLevel="0" collapsed="false">
      <c r="A208" s="67" t="str">
        <f aca="false">IFERROR(IF(Análisis!$K$49="🟡 SOBRESTOCK",Análisis!A49,""),"—")</f>
        <v/>
      </c>
      <c r="B208" s="68" t="str">
        <f aca="false">IFERROR(IF(Análisis!$K$49="🟡 SOBRESTOCK",Análisis!B49,""),"—")</f>
        <v/>
      </c>
      <c r="C208" s="67" t="str">
        <f aca="false">IFERROR(IF(Análisis!$K$49="🟡 SOBRESTOCK",Análisis!C49,""),"—")</f>
        <v/>
      </c>
      <c r="D208" s="67" t="str">
        <f aca="false">IFERROR(IF(Análisis!$K$49="🟡 SOBRESTOCK",Análisis!D49,""),"—")</f>
        <v/>
      </c>
      <c r="E208" s="69" t="str">
        <f aca="false">IFERROR(IF(Análisis!$K$49="🟡 SOBRESTOCK",Análisis!E49,""),"—")</f>
        <v/>
      </c>
      <c r="F208" s="70" t="str">
        <f aca="false">IFERROR(IF(Análisis!$K$49="🟡 SOBRESTOCK",Análisis!F49,""),"—")</f>
        <v/>
      </c>
      <c r="G208" s="67" t="str">
        <f aca="false">IFERROR(IF(Análisis!$K$49="🟡 SOBRESTOCK",Análisis!I49,""),"—")</f>
        <v/>
      </c>
      <c r="H208" s="67" t="str">
        <f aca="false">IFERROR(IF(Análisis!$K$49="🟡 SOBRESTOCK",Análisis!M49,""),"—")</f>
        <v/>
      </c>
      <c r="I208" s="71" t="str">
        <f aca="false">IFERROR(IF(Análisis!$K$49="🟡 SOBRESTOCK",Análisis!H49,""),"—")</f>
        <v/>
      </c>
      <c r="J208" s="67" t="str">
        <f aca="false">IFERROR(IF(Análisis!$K$49="🟡 SOBRESTOCK",Análisis!O49,""),"—")</f>
        <v/>
      </c>
    </row>
    <row r="209" customFormat="false" ht="15.75" hidden="false" customHeight="true" outlineLevel="0" collapsed="false">
      <c r="A209" s="67" t="str">
        <f aca="false">IFERROR(IF(Análisis!$K$50="🟡 SOBRESTOCK",Análisis!A50,""),"—")</f>
        <v/>
      </c>
      <c r="B209" s="68" t="str">
        <f aca="false">IFERROR(IF(Análisis!$K$50="🟡 SOBRESTOCK",Análisis!B50,""),"—")</f>
        <v/>
      </c>
      <c r="C209" s="67" t="str">
        <f aca="false">IFERROR(IF(Análisis!$K$50="🟡 SOBRESTOCK",Análisis!C50,""),"—")</f>
        <v/>
      </c>
      <c r="D209" s="67" t="str">
        <f aca="false">IFERROR(IF(Análisis!$K$50="🟡 SOBRESTOCK",Análisis!D50,""),"—")</f>
        <v/>
      </c>
      <c r="E209" s="69" t="str">
        <f aca="false">IFERROR(IF(Análisis!$K$50="🟡 SOBRESTOCK",Análisis!E50,""),"—")</f>
        <v/>
      </c>
      <c r="F209" s="70" t="str">
        <f aca="false">IFERROR(IF(Análisis!$K$50="🟡 SOBRESTOCK",Análisis!F50,""),"—")</f>
        <v/>
      </c>
      <c r="G209" s="67" t="str">
        <f aca="false">IFERROR(IF(Análisis!$K$50="🟡 SOBRESTOCK",Análisis!I50,""),"—")</f>
        <v/>
      </c>
      <c r="H209" s="67" t="str">
        <f aca="false">IFERROR(IF(Análisis!$K$50="🟡 SOBRESTOCK",Análisis!M50,""),"—")</f>
        <v/>
      </c>
      <c r="I209" s="71" t="str">
        <f aca="false">IFERROR(IF(Análisis!$K$50="🟡 SOBRESTOCK",Análisis!H50,""),"—")</f>
        <v/>
      </c>
      <c r="J209" s="67" t="str">
        <f aca="false">IFERROR(IF(Análisis!$K$50="🟡 SOBRESTOCK",Análisis!O50,""),"—")</f>
        <v/>
      </c>
    </row>
    <row r="210" customFormat="false" ht="15.75" hidden="false" customHeight="true" outlineLevel="0" collapsed="false">
      <c r="A210" s="67" t="str">
        <f aca="false">IFERROR(IF(Análisis!$K$51="🟡 SOBRESTOCK",Análisis!A51,""),"—")</f>
        <v/>
      </c>
      <c r="B210" s="68" t="str">
        <f aca="false">IFERROR(IF(Análisis!$K$51="🟡 SOBRESTOCK",Análisis!B51,""),"—")</f>
        <v/>
      </c>
      <c r="C210" s="67" t="str">
        <f aca="false">IFERROR(IF(Análisis!$K$51="🟡 SOBRESTOCK",Análisis!C51,""),"—")</f>
        <v/>
      </c>
      <c r="D210" s="67" t="str">
        <f aca="false">IFERROR(IF(Análisis!$K$51="🟡 SOBRESTOCK",Análisis!D51,""),"—")</f>
        <v/>
      </c>
      <c r="E210" s="69" t="str">
        <f aca="false">IFERROR(IF(Análisis!$K$51="🟡 SOBRESTOCK",Análisis!E51,""),"—")</f>
        <v/>
      </c>
      <c r="F210" s="70" t="str">
        <f aca="false">IFERROR(IF(Análisis!$K$51="🟡 SOBRESTOCK",Análisis!F51,""),"—")</f>
        <v/>
      </c>
      <c r="G210" s="67" t="str">
        <f aca="false">IFERROR(IF(Análisis!$K$51="🟡 SOBRESTOCK",Análisis!I51,""),"—")</f>
        <v/>
      </c>
      <c r="H210" s="67" t="str">
        <f aca="false">IFERROR(IF(Análisis!$K$51="🟡 SOBRESTOCK",Análisis!M51,""),"—")</f>
        <v/>
      </c>
      <c r="I210" s="71" t="str">
        <f aca="false">IFERROR(IF(Análisis!$K$51="🟡 SOBRESTOCK",Análisis!H51,""),"—")</f>
        <v/>
      </c>
      <c r="J210" s="67" t="str">
        <f aca="false">IFERROR(IF(Análisis!$K$51="🟡 SOBRESTOCK",Análisis!O51,""),"—")</f>
        <v/>
      </c>
    </row>
    <row r="211" customFormat="false" ht="15.75" hidden="false" customHeight="true" outlineLevel="0" collapsed="false">
      <c r="A211" s="67" t="str">
        <f aca="false">IFERROR(IF(Análisis!$K$52="🟡 SOBRESTOCK",Análisis!A52,""),"—")</f>
        <v/>
      </c>
      <c r="B211" s="68" t="str">
        <f aca="false">IFERROR(IF(Análisis!$K$52="🟡 SOBRESTOCK",Análisis!B52,""),"—")</f>
        <v/>
      </c>
      <c r="C211" s="67" t="str">
        <f aca="false">IFERROR(IF(Análisis!$K$52="🟡 SOBRESTOCK",Análisis!C52,""),"—")</f>
        <v/>
      </c>
      <c r="D211" s="67" t="str">
        <f aca="false">IFERROR(IF(Análisis!$K$52="🟡 SOBRESTOCK",Análisis!D52,""),"—")</f>
        <v/>
      </c>
      <c r="E211" s="69" t="str">
        <f aca="false">IFERROR(IF(Análisis!$K$52="🟡 SOBRESTOCK",Análisis!E52,""),"—")</f>
        <v/>
      </c>
      <c r="F211" s="70" t="str">
        <f aca="false">IFERROR(IF(Análisis!$K$52="🟡 SOBRESTOCK",Análisis!F52,""),"—")</f>
        <v/>
      </c>
      <c r="G211" s="67" t="str">
        <f aca="false">IFERROR(IF(Análisis!$K$52="🟡 SOBRESTOCK",Análisis!I52,""),"—")</f>
        <v/>
      </c>
      <c r="H211" s="67" t="str">
        <f aca="false">IFERROR(IF(Análisis!$K$52="🟡 SOBRESTOCK",Análisis!M52,""),"—")</f>
        <v/>
      </c>
      <c r="I211" s="71" t="str">
        <f aca="false">IFERROR(IF(Análisis!$K$52="🟡 SOBRESTOCK",Análisis!H52,""),"—")</f>
        <v/>
      </c>
      <c r="J211" s="67" t="str">
        <f aca="false">IFERROR(IF(Análisis!$K$52="🟡 SOBRESTOCK",Análisis!O52,""),"—")</f>
        <v/>
      </c>
    </row>
    <row r="212" customFormat="false" ht="15.75" hidden="false" customHeight="true" outlineLevel="0" collapsed="false">
      <c r="A212" s="67" t="str">
        <f aca="false">IFERROR(IF(Análisis!$K$53="🟡 SOBRESTOCK",Análisis!A53,""),"—")</f>
        <v/>
      </c>
      <c r="B212" s="68" t="str">
        <f aca="false">IFERROR(IF(Análisis!$K$53="🟡 SOBRESTOCK",Análisis!B53,""),"—")</f>
        <v/>
      </c>
      <c r="C212" s="67" t="str">
        <f aca="false">IFERROR(IF(Análisis!$K$53="🟡 SOBRESTOCK",Análisis!C53,""),"—")</f>
        <v/>
      </c>
      <c r="D212" s="67" t="str">
        <f aca="false">IFERROR(IF(Análisis!$K$53="🟡 SOBRESTOCK",Análisis!D53,""),"—")</f>
        <v/>
      </c>
      <c r="E212" s="69" t="str">
        <f aca="false">IFERROR(IF(Análisis!$K$53="🟡 SOBRESTOCK",Análisis!E53,""),"—")</f>
        <v/>
      </c>
      <c r="F212" s="70" t="str">
        <f aca="false">IFERROR(IF(Análisis!$K$53="🟡 SOBRESTOCK",Análisis!F53,""),"—")</f>
        <v/>
      </c>
      <c r="G212" s="67" t="str">
        <f aca="false">IFERROR(IF(Análisis!$K$53="🟡 SOBRESTOCK",Análisis!I53,""),"—")</f>
        <v/>
      </c>
      <c r="H212" s="67" t="str">
        <f aca="false">IFERROR(IF(Análisis!$K$53="🟡 SOBRESTOCK",Análisis!M53,""),"—")</f>
        <v/>
      </c>
      <c r="I212" s="71" t="str">
        <f aca="false">IFERROR(IF(Análisis!$K$53="🟡 SOBRESTOCK",Análisis!H53,""),"—")</f>
        <v/>
      </c>
      <c r="J212" s="67" t="str">
        <f aca="false">IFERROR(IF(Análisis!$K$53="🟡 SOBRESTOCK",Análisis!O53,""),"—")</f>
        <v/>
      </c>
    </row>
    <row r="213" customFormat="false" ht="15.75" hidden="false" customHeight="true" outlineLevel="0" collapsed="false">
      <c r="A213" s="67" t="str">
        <f aca="false">IFERROR(IF(Análisis!$K$54="🟡 SOBRESTOCK",Análisis!A54,""),"—")</f>
        <v/>
      </c>
      <c r="B213" s="68" t="str">
        <f aca="false">IFERROR(IF(Análisis!$K$54="🟡 SOBRESTOCK",Análisis!B54,""),"—")</f>
        <v/>
      </c>
      <c r="C213" s="67" t="str">
        <f aca="false">IFERROR(IF(Análisis!$K$54="🟡 SOBRESTOCK",Análisis!C54,""),"—")</f>
        <v/>
      </c>
      <c r="D213" s="67" t="str">
        <f aca="false">IFERROR(IF(Análisis!$K$54="🟡 SOBRESTOCK",Análisis!D54,""),"—")</f>
        <v/>
      </c>
      <c r="E213" s="69" t="str">
        <f aca="false">IFERROR(IF(Análisis!$K$54="🟡 SOBRESTOCK",Análisis!E54,""),"—")</f>
        <v/>
      </c>
      <c r="F213" s="70" t="str">
        <f aca="false">IFERROR(IF(Análisis!$K$54="🟡 SOBRESTOCK",Análisis!F54,""),"—")</f>
        <v/>
      </c>
      <c r="G213" s="67" t="str">
        <f aca="false">IFERROR(IF(Análisis!$K$54="🟡 SOBRESTOCK",Análisis!I54,""),"—")</f>
        <v/>
      </c>
      <c r="H213" s="67" t="str">
        <f aca="false">IFERROR(IF(Análisis!$K$54="🟡 SOBRESTOCK",Análisis!M54,""),"—")</f>
        <v/>
      </c>
      <c r="I213" s="71" t="str">
        <f aca="false">IFERROR(IF(Análisis!$K$54="🟡 SOBRESTOCK",Análisis!H54,""),"—")</f>
        <v/>
      </c>
      <c r="J213" s="67" t="str">
        <f aca="false">IFERROR(IF(Análisis!$K$54="🟡 SOBRESTOCK",Análisis!O54,""),"—")</f>
        <v/>
      </c>
    </row>
    <row r="214" customFormat="false" ht="15.75" hidden="false" customHeight="true" outlineLevel="0" collapsed="false">
      <c r="A214" s="67" t="str">
        <f aca="false">IFERROR(IF(Análisis!$K$55="🟡 SOBRESTOCK",Análisis!A55,""),"—")</f>
        <v/>
      </c>
      <c r="B214" s="68" t="str">
        <f aca="false">IFERROR(IF(Análisis!$K$55="🟡 SOBRESTOCK",Análisis!B55,""),"—")</f>
        <v/>
      </c>
      <c r="C214" s="67" t="str">
        <f aca="false">IFERROR(IF(Análisis!$K$55="🟡 SOBRESTOCK",Análisis!C55,""),"—")</f>
        <v/>
      </c>
      <c r="D214" s="67" t="str">
        <f aca="false">IFERROR(IF(Análisis!$K$55="🟡 SOBRESTOCK",Análisis!D55,""),"—")</f>
        <v/>
      </c>
      <c r="E214" s="69" t="str">
        <f aca="false">IFERROR(IF(Análisis!$K$55="🟡 SOBRESTOCK",Análisis!E55,""),"—")</f>
        <v/>
      </c>
      <c r="F214" s="70" t="str">
        <f aca="false">IFERROR(IF(Análisis!$K$55="🟡 SOBRESTOCK",Análisis!F55,""),"—")</f>
        <v/>
      </c>
      <c r="G214" s="67" t="str">
        <f aca="false">IFERROR(IF(Análisis!$K$55="🟡 SOBRESTOCK",Análisis!I55,""),"—")</f>
        <v/>
      </c>
      <c r="H214" s="67" t="str">
        <f aca="false">IFERROR(IF(Análisis!$K$55="🟡 SOBRESTOCK",Análisis!M55,""),"—")</f>
        <v/>
      </c>
      <c r="I214" s="71" t="str">
        <f aca="false">IFERROR(IF(Análisis!$K$55="🟡 SOBRESTOCK",Análisis!H55,""),"—")</f>
        <v/>
      </c>
      <c r="J214" s="67" t="str">
        <f aca="false">IFERROR(IF(Análisis!$K$55="🟡 SOBRESTOCK",Análisis!O55,""),"—")</f>
        <v/>
      </c>
    </row>
    <row r="215" customFormat="false" ht="15.75" hidden="false" customHeight="true" outlineLevel="0" collapsed="false">
      <c r="A215" s="67" t="str">
        <f aca="false">IFERROR(IF(Análisis!$K$56="🟡 SOBRESTOCK",Análisis!A56,""),"—")</f>
        <v/>
      </c>
      <c r="B215" s="68" t="str">
        <f aca="false">IFERROR(IF(Análisis!$K$56="🟡 SOBRESTOCK",Análisis!B56,""),"—")</f>
        <v/>
      </c>
      <c r="C215" s="67" t="str">
        <f aca="false">IFERROR(IF(Análisis!$K$56="🟡 SOBRESTOCK",Análisis!C56,""),"—")</f>
        <v/>
      </c>
      <c r="D215" s="67" t="str">
        <f aca="false">IFERROR(IF(Análisis!$K$56="🟡 SOBRESTOCK",Análisis!D56,""),"—")</f>
        <v/>
      </c>
      <c r="E215" s="69" t="str">
        <f aca="false">IFERROR(IF(Análisis!$K$56="🟡 SOBRESTOCK",Análisis!E56,""),"—")</f>
        <v/>
      </c>
      <c r="F215" s="70" t="str">
        <f aca="false">IFERROR(IF(Análisis!$K$56="🟡 SOBRESTOCK",Análisis!F56,""),"—")</f>
        <v/>
      </c>
      <c r="G215" s="67" t="str">
        <f aca="false">IFERROR(IF(Análisis!$K$56="🟡 SOBRESTOCK",Análisis!I56,""),"—")</f>
        <v/>
      </c>
      <c r="H215" s="67" t="str">
        <f aca="false">IFERROR(IF(Análisis!$K$56="🟡 SOBRESTOCK",Análisis!M56,""),"—")</f>
        <v/>
      </c>
      <c r="I215" s="71" t="str">
        <f aca="false">IFERROR(IF(Análisis!$K$56="🟡 SOBRESTOCK",Análisis!H56,""),"—")</f>
        <v/>
      </c>
      <c r="J215" s="67" t="str">
        <f aca="false">IFERROR(IF(Análisis!$K$56="🟡 SOBRESTOCK",Análisis!O56,""),"—")</f>
        <v/>
      </c>
    </row>
    <row r="216" customFormat="false" ht="15.75" hidden="false" customHeight="true" outlineLevel="0" collapsed="false">
      <c r="A216" s="67" t="str">
        <f aca="false">IFERROR(IF(Análisis!$K$57="🟡 SOBRESTOCK",Análisis!A57,""),"—")</f>
        <v/>
      </c>
      <c r="B216" s="68" t="str">
        <f aca="false">IFERROR(IF(Análisis!$K$57="🟡 SOBRESTOCK",Análisis!B57,""),"—")</f>
        <v/>
      </c>
      <c r="C216" s="67" t="str">
        <f aca="false">IFERROR(IF(Análisis!$K$57="🟡 SOBRESTOCK",Análisis!C57,""),"—")</f>
        <v/>
      </c>
      <c r="D216" s="67" t="str">
        <f aca="false">IFERROR(IF(Análisis!$K$57="🟡 SOBRESTOCK",Análisis!D57,""),"—")</f>
        <v/>
      </c>
      <c r="E216" s="69" t="str">
        <f aca="false">IFERROR(IF(Análisis!$K$57="🟡 SOBRESTOCK",Análisis!E57,""),"—")</f>
        <v/>
      </c>
      <c r="F216" s="70" t="str">
        <f aca="false">IFERROR(IF(Análisis!$K$57="🟡 SOBRESTOCK",Análisis!F57,""),"—")</f>
        <v/>
      </c>
      <c r="G216" s="67" t="str">
        <f aca="false">IFERROR(IF(Análisis!$K$57="🟡 SOBRESTOCK",Análisis!I57,""),"—")</f>
        <v/>
      </c>
      <c r="H216" s="67" t="str">
        <f aca="false">IFERROR(IF(Análisis!$K$57="🟡 SOBRESTOCK",Análisis!M57,""),"—")</f>
        <v/>
      </c>
      <c r="I216" s="71" t="str">
        <f aca="false">IFERROR(IF(Análisis!$K$57="🟡 SOBRESTOCK",Análisis!H57,""),"—")</f>
        <v/>
      </c>
      <c r="J216" s="67" t="str">
        <f aca="false">IFERROR(IF(Análisis!$K$57="🟡 SOBRESTOCK",Análisis!O57,""),"—")</f>
        <v/>
      </c>
    </row>
    <row r="217" customFormat="false" ht="15.75" hidden="false" customHeight="true" outlineLevel="0" collapsed="false">
      <c r="A217" s="67" t="str">
        <f aca="false">IFERROR(IF(Análisis!$K$58="🟡 SOBRESTOCK",Análisis!A58,""),"—")</f>
        <v/>
      </c>
      <c r="B217" s="68" t="str">
        <f aca="false">IFERROR(IF(Análisis!$K$58="🟡 SOBRESTOCK",Análisis!B58,""),"—")</f>
        <v/>
      </c>
      <c r="C217" s="67" t="str">
        <f aca="false">IFERROR(IF(Análisis!$K$58="🟡 SOBRESTOCK",Análisis!C58,""),"—")</f>
        <v/>
      </c>
      <c r="D217" s="67" t="str">
        <f aca="false">IFERROR(IF(Análisis!$K$58="🟡 SOBRESTOCK",Análisis!D58,""),"—")</f>
        <v/>
      </c>
      <c r="E217" s="69" t="str">
        <f aca="false">IFERROR(IF(Análisis!$K$58="🟡 SOBRESTOCK",Análisis!E58,""),"—")</f>
        <v/>
      </c>
      <c r="F217" s="70" t="str">
        <f aca="false">IFERROR(IF(Análisis!$K$58="🟡 SOBRESTOCK",Análisis!F58,""),"—")</f>
        <v/>
      </c>
      <c r="G217" s="67" t="str">
        <f aca="false">IFERROR(IF(Análisis!$K$58="🟡 SOBRESTOCK",Análisis!I58,""),"—")</f>
        <v/>
      </c>
      <c r="H217" s="67" t="str">
        <f aca="false">IFERROR(IF(Análisis!$K$58="🟡 SOBRESTOCK",Análisis!M58,""),"—")</f>
        <v/>
      </c>
      <c r="I217" s="71" t="str">
        <f aca="false">IFERROR(IF(Análisis!$K$58="🟡 SOBRESTOCK",Análisis!H58,""),"—")</f>
        <v/>
      </c>
      <c r="J217" s="67" t="str">
        <f aca="false">IFERROR(IF(Análisis!$K$58="🟡 SOBRESTOCK",Análisis!O58,""),"—")</f>
        <v/>
      </c>
    </row>
    <row r="218" customFormat="false" ht="15.75" hidden="false" customHeight="true" outlineLevel="0" collapsed="false">
      <c r="A218" s="67" t="str">
        <f aca="false">IFERROR(IF(Análisis!$K$59="🟡 SOBRESTOCK",Análisis!A59,""),"—")</f>
        <v/>
      </c>
      <c r="B218" s="68" t="str">
        <f aca="false">IFERROR(IF(Análisis!$K$59="🟡 SOBRESTOCK",Análisis!B59,""),"—")</f>
        <v/>
      </c>
      <c r="C218" s="67" t="str">
        <f aca="false">IFERROR(IF(Análisis!$K$59="🟡 SOBRESTOCK",Análisis!C59,""),"—")</f>
        <v/>
      </c>
      <c r="D218" s="67" t="str">
        <f aca="false">IFERROR(IF(Análisis!$K$59="🟡 SOBRESTOCK",Análisis!D59,""),"—")</f>
        <v/>
      </c>
      <c r="E218" s="69" t="str">
        <f aca="false">IFERROR(IF(Análisis!$K$59="🟡 SOBRESTOCK",Análisis!E59,""),"—")</f>
        <v/>
      </c>
      <c r="F218" s="70" t="str">
        <f aca="false">IFERROR(IF(Análisis!$K$59="🟡 SOBRESTOCK",Análisis!F59,""),"—")</f>
        <v/>
      </c>
      <c r="G218" s="67" t="str">
        <f aca="false">IFERROR(IF(Análisis!$K$59="🟡 SOBRESTOCK",Análisis!I59,""),"—")</f>
        <v/>
      </c>
      <c r="H218" s="67" t="str">
        <f aca="false">IFERROR(IF(Análisis!$K$59="🟡 SOBRESTOCK",Análisis!M59,""),"—")</f>
        <v/>
      </c>
      <c r="I218" s="71" t="str">
        <f aca="false">IFERROR(IF(Análisis!$K$59="🟡 SOBRESTOCK",Análisis!H59,""),"—")</f>
        <v/>
      </c>
      <c r="J218" s="67" t="str">
        <f aca="false">IFERROR(IF(Análisis!$K$59="🟡 SOBRESTOCK",Análisis!O59,""),"—")</f>
        <v/>
      </c>
    </row>
    <row r="219" customFormat="false" ht="15.75" hidden="false" customHeight="true" outlineLevel="0" collapsed="false">
      <c r="A219" s="67" t="str">
        <f aca="false">IFERROR(IF(Análisis!$K$60="🟡 SOBRESTOCK",Análisis!A60,""),"—")</f>
        <v/>
      </c>
      <c r="B219" s="68" t="str">
        <f aca="false">IFERROR(IF(Análisis!$K$60="🟡 SOBRESTOCK",Análisis!B60,""),"—")</f>
        <v/>
      </c>
      <c r="C219" s="67" t="str">
        <f aca="false">IFERROR(IF(Análisis!$K$60="🟡 SOBRESTOCK",Análisis!C60,""),"—")</f>
        <v/>
      </c>
      <c r="D219" s="67" t="str">
        <f aca="false">IFERROR(IF(Análisis!$K$60="🟡 SOBRESTOCK",Análisis!D60,""),"—")</f>
        <v/>
      </c>
      <c r="E219" s="69" t="str">
        <f aca="false">IFERROR(IF(Análisis!$K$60="🟡 SOBRESTOCK",Análisis!E60,""),"—")</f>
        <v/>
      </c>
      <c r="F219" s="70" t="str">
        <f aca="false">IFERROR(IF(Análisis!$K$60="🟡 SOBRESTOCK",Análisis!F60,""),"—")</f>
        <v/>
      </c>
      <c r="G219" s="67" t="str">
        <f aca="false">IFERROR(IF(Análisis!$K$60="🟡 SOBRESTOCK",Análisis!I60,""),"—")</f>
        <v/>
      </c>
      <c r="H219" s="67" t="str">
        <f aca="false">IFERROR(IF(Análisis!$K$60="🟡 SOBRESTOCK",Análisis!M60,""),"—")</f>
        <v/>
      </c>
      <c r="I219" s="71" t="str">
        <f aca="false">IFERROR(IF(Análisis!$K$60="🟡 SOBRESTOCK",Análisis!H60,""),"—")</f>
        <v/>
      </c>
      <c r="J219" s="67" t="str">
        <f aca="false">IFERROR(IF(Análisis!$K$60="🟡 SOBRESTOCK",Análisis!O60,""),"—")</f>
        <v/>
      </c>
    </row>
    <row r="220" customFormat="false" ht="15.75" hidden="false" customHeight="true" outlineLevel="0" collapsed="false">
      <c r="A220" s="67" t="str">
        <f aca="false">IFERROR(IF(Análisis!$K$61="🟡 SOBRESTOCK",Análisis!A61,""),"—")</f>
        <v>SKU-057</v>
      </c>
      <c r="B220" s="68" t="str">
        <f aca="false">IFERROR(IF(Análisis!$K$61="🟡 SOBRESTOCK",Análisis!B61,""),"—")</f>
        <v>Cepillo de Dientes x2</v>
      </c>
      <c r="C220" s="67" t="str">
        <f aca="false">IFERROR(IF(Análisis!$K$61="🟡 SOBRESTOCK",Análisis!C61,""),"—")</f>
        <v>Higiene Personal</v>
      </c>
      <c r="D220" s="67" t="n">
        <f aca="false">IFERROR(IF(Análisis!$K$61="🟡 SOBRESTOCK",Análisis!D61,""),"—")</f>
        <v>678</v>
      </c>
      <c r="E220" s="69" t="n">
        <f aca="false">IFERROR(IF(Análisis!$K$61="🟡 SOBRESTOCK",Análisis!E61,""),"—")</f>
        <v>125.5</v>
      </c>
      <c r="F220" s="70" t="n">
        <f aca="false">IFERROR(IF(Análisis!$K$61="🟡 SOBRESTOCK",Análisis!F61,""),"—")</f>
        <v>162.07171314741</v>
      </c>
      <c r="G220" s="67" t="n">
        <f aca="false">IFERROR(IF(Análisis!$K$61="🟡 SOBRESTOCK",Análisis!I61,""),"—")</f>
        <v>35</v>
      </c>
      <c r="H220" s="67" t="str">
        <f aca="false">IFERROR(IF(Análisis!$K$61="🟡 SOBRESTOCK",Análisis!M61,""),"—")</f>
        <v>B</v>
      </c>
      <c r="I220" s="71" t="n">
        <f aca="false">IFERROR(IF(Análisis!$K$61="🟡 SOBRESTOCK",Análisis!H61,""),"—")</f>
        <v>2440.8</v>
      </c>
      <c r="J220" s="67" t="str">
        <f aca="false">IFERROR(IF(Análisis!$K$61="🟡 SOBRESTOCK",Análisis!O61,""),"—")</f>
        <v>Reducir próxima compra</v>
      </c>
    </row>
    <row r="221" customFormat="false" ht="15.75" hidden="false" customHeight="true" outlineLevel="0" collapsed="false">
      <c r="A221" s="67" t="str">
        <f aca="false">IFERROR(IF(Análisis!$K$62="🟡 SOBRESTOCK",Análisis!A62,""),"—")</f>
        <v/>
      </c>
      <c r="B221" s="68" t="str">
        <f aca="false">IFERROR(IF(Análisis!$K$62="🟡 SOBRESTOCK",Análisis!B62,""),"—")</f>
        <v/>
      </c>
      <c r="C221" s="67" t="str">
        <f aca="false">IFERROR(IF(Análisis!$K$62="🟡 SOBRESTOCK",Análisis!C62,""),"—")</f>
        <v/>
      </c>
      <c r="D221" s="67" t="str">
        <f aca="false">IFERROR(IF(Análisis!$K$62="🟡 SOBRESTOCK",Análisis!D62,""),"—")</f>
        <v/>
      </c>
      <c r="E221" s="69" t="str">
        <f aca="false">IFERROR(IF(Análisis!$K$62="🟡 SOBRESTOCK",Análisis!E62,""),"—")</f>
        <v/>
      </c>
      <c r="F221" s="70" t="str">
        <f aca="false">IFERROR(IF(Análisis!$K$62="🟡 SOBRESTOCK",Análisis!F62,""),"—")</f>
        <v/>
      </c>
      <c r="G221" s="67" t="str">
        <f aca="false">IFERROR(IF(Análisis!$K$62="🟡 SOBRESTOCK",Análisis!I62,""),"—")</f>
        <v/>
      </c>
      <c r="H221" s="67" t="str">
        <f aca="false">IFERROR(IF(Análisis!$K$62="🟡 SOBRESTOCK",Análisis!M62,""),"—")</f>
        <v/>
      </c>
      <c r="I221" s="71" t="str">
        <f aca="false">IFERROR(IF(Análisis!$K$62="🟡 SOBRESTOCK",Análisis!H62,""),"—")</f>
        <v/>
      </c>
      <c r="J221" s="67" t="str">
        <f aca="false">IFERROR(IF(Análisis!$K$62="🟡 SOBRESTOCK",Análisis!O62,""),"—")</f>
        <v/>
      </c>
    </row>
    <row r="222" customFormat="false" ht="15.75" hidden="false" customHeight="true" outlineLevel="0" collapsed="false">
      <c r="A222" s="67" t="str">
        <f aca="false">IFERROR(IF(Análisis!$K$63="🟡 SOBRESTOCK",Análisis!A63,""),"—")</f>
        <v/>
      </c>
      <c r="B222" s="68" t="str">
        <f aca="false">IFERROR(IF(Análisis!$K$63="🟡 SOBRESTOCK",Análisis!B63,""),"—")</f>
        <v/>
      </c>
      <c r="C222" s="67" t="str">
        <f aca="false">IFERROR(IF(Análisis!$K$63="🟡 SOBRESTOCK",Análisis!C63,""),"—")</f>
        <v/>
      </c>
      <c r="D222" s="67" t="str">
        <f aca="false">IFERROR(IF(Análisis!$K$63="🟡 SOBRESTOCK",Análisis!D63,""),"—")</f>
        <v/>
      </c>
      <c r="E222" s="69" t="str">
        <f aca="false">IFERROR(IF(Análisis!$K$63="🟡 SOBRESTOCK",Análisis!E63,""),"—")</f>
        <v/>
      </c>
      <c r="F222" s="70" t="str">
        <f aca="false">IFERROR(IF(Análisis!$K$63="🟡 SOBRESTOCK",Análisis!F63,""),"—")</f>
        <v/>
      </c>
      <c r="G222" s="67" t="str">
        <f aca="false">IFERROR(IF(Análisis!$K$63="🟡 SOBRESTOCK",Análisis!I63,""),"—")</f>
        <v/>
      </c>
      <c r="H222" s="67" t="str">
        <f aca="false">IFERROR(IF(Análisis!$K$63="🟡 SOBRESTOCK",Análisis!M63,""),"—")</f>
        <v/>
      </c>
      <c r="I222" s="71" t="str">
        <f aca="false">IFERROR(IF(Análisis!$K$63="🟡 SOBRESTOCK",Análisis!H63,""),"—")</f>
        <v/>
      </c>
      <c r="J222" s="67" t="str">
        <f aca="false">IFERROR(IF(Análisis!$K$63="🟡 SOBRESTOCK",Análisis!O63,""),"—")</f>
        <v/>
      </c>
    </row>
    <row r="223" customFormat="false" ht="15.75" hidden="false" customHeight="true" outlineLevel="0" collapsed="false">
      <c r="A223" s="67" t="str">
        <f aca="false">IFERROR(IF(Análisis!$K$64="🟡 SOBRESTOCK",Análisis!A64,""),"—")</f>
        <v/>
      </c>
      <c r="B223" s="68" t="str">
        <f aca="false">IFERROR(IF(Análisis!$K$64="🟡 SOBRESTOCK",Análisis!B64,""),"—")</f>
        <v/>
      </c>
      <c r="C223" s="67" t="str">
        <f aca="false">IFERROR(IF(Análisis!$K$64="🟡 SOBRESTOCK",Análisis!C64,""),"—")</f>
        <v/>
      </c>
      <c r="D223" s="67" t="str">
        <f aca="false">IFERROR(IF(Análisis!$K$64="🟡 SOBRESTOCK",Análisis!D64,""),"—")</f>
        <v/>
      </c>
      <c r="E223" s="69" t="str">
        <f aca="false">IFERROR(IF(Análisis!$K$64="🟡 SOBRESTOCK",Análisis!E64,""),"—")</f>
        <v/>
      </c>
      <c r="F223" s="70" t="str">
        <f aca="false">IFERROR(IF(Análisis!$K$64="🟡 SOBRESTOCK",Análisis!F64,""),"—")</f>
        <v/>
      </c>
      <c r="G223" s="67" t="str">
        <f aca="false">IFERROR(IF(Análisis!$K$64="🟡 SOBRESTOCK",Análisis!I64,""),"—")</f>
        <v/>
      </c>
      <c r="H223" s="67" t="str">
        <f aca="false">IFERROR(IF(Análisis!$K$64="🟡 SOBRESTOCK",Análisis!M64,""),"—")</f>
        <v/>
      </c>
      <c r="I223" s="71" t="str">
        <f aca="false">IFERROR(IF(Análisis!$K$64="🟡 SOBRESTOCK",Análisis!H64,""),"—")</f>
        <v/>
      </c>
      <c r="J223" s="67" t="str">
        <f aca="false">IFERROR(IF(Análisis!$K$64="🟡 SOBRESTOCK",Análisis!O64,""),"—")</f>
        <v/>
      </c>
    </row>
    <row r="224" customFormat="false" ht="15.75" hidden="false" customHeight="true" outlineLevel="0" collapsed="false">
      <c r="A224" s="67" t="str">
        <f aca="false">IFERROR(IF(Análisis!$K$65="🟡 SOBRESTOCK",Análisis!A65,""),"—")</f>
        <v/>
      </c>
      <c r="B224" s="68" t="str">
        <f aca="false">IFERROR(IF(Análisis!$K$65="🟡 SOBRESTOCK",Análisis!B65,""),"—")</f>
        <v/>
      </c>
      <c r="C224" s="67" t="str">
        <f aca="false">IFERROR(IF(Análisis!$K$65="🟡 SOBRESTOCK",Análisis!C65,""),"—")</f>
        <v/>
      </c>
      <c r="D224" s="67" t="str">
        <f aca="false">IFERROR(IF(Análisis!$K$65="🟡 SOBRESTOCK",Análisis!D65,""),"—")</f>
        <v/>
      </c>
      <c r="E224" s="69" t="str">
        <f aca="false">IFERROR(IF(Análisis!$K$65="🟡 SOBRESTOCK",Análisis!E65,""),"—")</f>
        <v/>
      </c>
      <c r="F224" s="70" t="str">
        <f aca="false">IFERROR(IF(Análisis!$K$65="🟡 SOBRESTOCK",Análisis!F65,""),"—")</f>
        <v/>
      </c>
      <c r="G224" s="67" t="str">
        <f aca="false">IFERROR(IF(Análisis!$K$65="🟡 SOBRESTOCK",Análisis!I65,""),"—")</f>
        <v/>
      </c>
      <c r="H224" s="67" t="str">
        <f aca="false">IFERROR(IF(Análisis!$K$65="🟡 SOBRESTOCK",Análisis!M65,""),"—")</f>
        <v/>
      </c>
      <c r="I224" s="71" t="str">
        <f aca="false">IFERROR(IF(Análisis!$K$65="🟡 SOBRESTOCK",Análisis!H65,""),"—")</f>
        <v/>
      </c>
      <c r="J224" s="67" t="str">
        <f aca="false">IFERROR(IF(Análisis!$K$65="🟡 SOBRESTOCK",Análisis!O65,""),"—")</f>
        <v/>
      </c>
    </row>
    <row r="225" customFormat="false" ht="15.75" hidden="false" customHeight="true" outlineLevel="0" collapsed="false">
      <c r="A225" s="67" t="str">
        <f aca="false">IFERROR(IF(Análisis!$K$66="🟡 SOBRESTOCK",Análisis!A66,""),"—")</f>
        <v/>
      </c>
      <c r="B225" s="68" t="str">
        <f aca="false">IFERROR(IF(Análisis!$K$66="🟡 SOBRESTOCK",Análisis!B66,""),"—")</f>
        <v/>
      </c>
      <c r="C225" s="67" t="str">
        <f aca="false">IFERROR(IF(Análisis!$K$66="🟡 SOBRESTOCK",Análisis!C66,""),"—")</f>
        <v/>
      </c>
      <c r="D225" s="67" t="str">
        <f aca="false">IFERROR(IF(Análisis!$K$66="🟡 SOBRESTOCK",Análisis!D66,""),"—")</f>
        <v/>
      </c>
      <c r="E225" s="69" t="str">
        <f aca="false">IFERROR(IF(Análisis!$K$66="🟡 SOBRESTOCK",Análisis!E66,""),"—")</f>
        <v/>
      </c>
      <c r="F225" s="70" t="str">
        <f aca="false">IFERROR(IF(Análisis!$K$66="🟡 SOBRESTOCK",Análisis!F66,""),"—")</f>
        <v/>
      </c>
      <c r="G225" s="67" t="str">
        <f aca="false">IFERROR(IF(Análisis!$K$66="🟡 SOBRESTOCK",Análisis!I66,""),"—")</f>
        <v/>
      </c>
      <c r="H225" s="67" t="str">
        <f aca="false">IFERROR(IF(Análisis!$K$66="🟡 SOBRESTOCK",Análisis!M66,""),"—")</f>
        <v/>
      </c>
      <c r="I225" s="71" t="str">
        <f aca="false">IFERROR(IF(Análisis!$K$66="🟡 SOBRESTOCK",Análisis!H66,""),"—")</f>
        <v/>
      </c>
      <c r="J225" s="67" t="str">
        <f aca="false">IFERROR(IF(Análisis!$K$66="🟡 SOBRESTOCK",Análisis!O66,""),"—")</f>
        <v/>
      </c>
    </row>
    <row r="226" customFormat="false" ht="15.75" hidden="false" customHeight="true" outlineLevel="0" collapsed="false">
      <c r="A226" s="67" t="str">
        <f aca="false">IFERROR(IF(Análisis!$K$67="🟡 SOBRESTOCK",Análisis!A67,""),"—")</f>
        <v>SKU-063</v>
      </c>
      <c r="B226" s="68" t="str">
        <f aca="false">IFERROR(IF(Análisis!$K$67="🟡 SOBRESTOCK",Análisis!B67,""),"—")</f>
        <v>Papel Higiénico Húmedo x40</v>
      </c>
      <c r="C226" s="67" t="str">
        <f aca="false">IFERROR(IF(Análisis!$K$67="🟡 SOBRESTOCK",Análisis!C67,""),"—")</f>
        <v>Higiene Personal</v>
      </c>
      <c r="D226" s="67" t="n">
        <f aca="false">IFERROR(IF(Análisis!$K$67="🟡 SOBRESTOCK",Análisis!D67,""),"—")</f>
        <v>498</v>
      </c>
      <c r="E226" s="69" t="n">
        <f aca="false">IFERROR(IF(Análisis!$K$67="🟡 SOBRESTOCK",Análisis!E67,""),"—")</f>
        <v>96</v>
      </c>
      <c r="F226" s="70" t="n">
        <f aca="false">IFERROR(IF(Análisis!$K$67="🟡 SOBRESTOCK",Análisis!F67,""),"—")</f>
        <v>155.625</v>
      </c>
      <c r="G226" s="67" t="n">
        <f aca="false">IFERROR(IF(Análisis!$K$67="🟡 SOBRESTOCK",Análisis!I67,""),"—")</f>
        <v>22</v>
      </c>
      <c r="H226" s="67" t="str">
        <f aca="false">IFERROR(IF(Análisis!$K$67="🟡 SOBRESTOCK",Análisis!M67,""),"—")</f>
        <v>C</v>
      </c>
      <c r="I226" s="71" t="n">
        <f aca="false">IFERROR(IF(Análisis!$K$67="🟡 SOBRESTOCK",Análisis!H67,""),"—")</f>
        <v>2091.6</v>
      </c>
      <c r="J226" s="67" t="str">
        <f aca="false">IFERROR(IF(Análisis!$K$67="🟡 SOBRESTOCK",Análisis!O67,""),"—")</f>
        <v>Reducir próxima compra</v>
      </c>
    </row>
    <row r="227" customFormat="false" ht="15.75" hidden="false" customHeight="true" outlineLevel="0" collapsed="false">
      <c r="A227" s="67" t="str">
        <f aca="false">IFERROR(IF(Análisis!$K$68="🟡 SOBRESTOCK",Análisis!A68,""),"—")</f>
        <v/>
      </c>
      <c r="B227" s="68" t="str">
        <f aca="false">IFERROR(IF(Análisis!$K$68="🟡 SOBRESTOCK",Análisis!B68,""),"—")</f>
        <v/>
      </c>
      <c r="C227" s="67" t="str">
        <f aca="false">IFERROR(IF(Análisis!$K$68="🟡 SOBRESTOCK",Análisis!C68,""),"—")</f>
        <v/>
      </c>
      <c r="D227" s="67" t="str">
        <f aca="false">IFERROR(IF(Análisis!$K$68="🟡 SOBRESTOCK",Análisis!D68,""),"—")</f>
        <v/>
      </c>
      <c r="E227" s="69" t="str">
        <f aca="false">IFERROR(IF(Análisis!$K$68="🟡 SOBRESTOCK",Análisis!E68,""),"—")</f>
        <v/>
      </c>
      <c r="F227" s="70" t="str">
        <f aca="false">IFERROR(IF(Análisis!$K$68="🟡 SOBRESTOCK",Análisis!F68,""),"—")</f>
        <v/>
      </c>
      <c r="G227" s="67" t="str">
        <f aca="false">IFERROR(IF(Análisis!$K$68="🟡 SOBRESTOCK",Análisis!I68,""),"—")</f>
        <v/>
      </c>
      <c r="H227" s="67" t="str">
        <f aca="false">IFERROR(IF(Análisis!$K$68="🟡 SOBRESTOCK",Análisis!M68,""),"—")</f>
        <v/>
      </c>
      <c r="I227" s="71" t="str">
        <f aca="false">IFERROR(IF(Análisis!$K$68="🟡 SOBRESTOCK",Análisis!H68,""),"—")</f>
        <v/>
      </c>
      <c r="J227" s="67" t="str">
        <f aca="false">IFERROR(IF(Análisis!$K$68="🟡 SOBRESTOCK",Análisis!O68,""),"—")</f>
        <v/>
      </c>
    </row>
    <row r="228" customFormat="false" ht="15.75" hidden="false" customHeight="true" outlineLevel="0" collapsed="false">
      <c r="A228" s="67" t="str">
        <f aca="false">IFERROR(IF(Análisis!$K$69="🟡 SOBRESTOCK",Análisis!A69,""),"—")</f>
        <v/>
      </c>
      <c r="B228" s="68" t="str">
        <f aca="false">IFERROR(IF(Análisis!$K$69="🟡 SOBRESTOCK",Análisis!B69,""),"—")</f>
        <v/>
      </c>
      <c r="C228" s="67" t="str">
        <f aca="false">IFERROR(IF(Análisis!$K$69="🟡 SOBRESTOCK",Análisis!C69,""),"—")</f>
        <v/>
      </c>
      <c r="D228" s="67" t="str">
        <f aca="false">IFERROR(IF(Análisis!$K$69="🟡 SOBRESTOCK",Análisis!D69,""),"—")</f>
        <v/>
      </c>
      <c r="E228" s="69" t="str">
        <f aca="false">IFERROR(IF(Análisis!$K$69="🟡 SOBRESTOCK",Análisis!E69,""),"—")</f>
        <v/>
      </c>
      <c r="F228" s="70" t="str">
        <f aca="false">IFERROR(IF(Análisis!$K$69="🟡 SOBRESTOCK",Análisis!F69,""),"—")</f>
        <v/>
      </c>
      <c r="G228" s="67" t="str">
        <f aca="false">IFERROR(IF(Análisis!$K$69="🟡 SOBRESTOCK",Análisis!I69,""),"—")</f>
        <v/>
      </c>
      <c r="H228" s="67" t="str">
        <f aca="false">IFERROR(IF(Análisis!$K$69="🟡 SOBRESTOCK",Análisis!M69,""),"—")</f>
        <v/>
      </c>
      <c r="I228" s="71" t="str">
        <f aca="false">IFERROR(IF(Análisis!$K$69="🟡 SOBRESTOCK",Análisis!H69,""),"—")</f>
        <v/>
      </c>
      <c r="J228" s="67" t="str">
        <f aca="false">IFERROR(IF(Análisis!$K$69="🟡 SOBRESTOCK",Análisis!O69,""),"—")</f>
        <v/>
      </c>
    </row>
    <row r="229" customFormat="false" ht="15.75" hidden="false" customHeight="true" outlineLevel="0" collapsed="false">
      <c r="A229" s="67" t="str">
        <f aca="false">IFERROR(IF(Análisis!$K$70="🟡 SOBRESTOCK",Análisis!A70,""),"—")</f>
        <v/>
      </c>
      <c r="B229" s="68" t="str">
        <f aca="false">IFERROR(IF(Análisis!$K$70="🟡 SOBRESTOCK",Análisis!B70,""),"—")</f>
        <v/>
      </c>
      <c r="C229" s="67" t="str">
        <f aca="false">IFERROR(IF(Análisis!$K$70="🟡 SOBRESTOCK",Análisis!C70,""),"—")</f>
        <v/>
      </c>
      <c r="D229" s="67" t="str">
        <f aca="false">IFERROR(IF(Análisis!$K$70="🟡 SOBRESTOCK",Análisis!D70,""),"—")</f>
        <v/>
      </c>
      <c r="E229" s="69" t="str">
        <f aca="false">IFERROR(IF(Análisis!$K$70="🟡 SOBRESTOCK",Análisis!E70,""),"—")</f>
        <v/>
      </c>
      <c r="F229" s="70" t="str">
        <f aca="false">IFERROR(IF(Análisis!$K$70="🟡 SOBRESTOCK",Análisis!F70,""),"—")</f>
        <v/>
      </c>
      <c r="G229" s="67" t="str">
        <f aca="false">IFERROR(IF(Análisis!$K$70="🟡 SOBRESTOCK",Análisis!I70,""),"—")</f>
        <v/>
      </c>
      <c r="H229" s="67" t="str">
        <f aca="false">IFERROR(IF(Análisis!$K$70="🟡 SOBRESTOCK",Análisis!M70,""),"—")</f>
        <v/>
      </c>
      <c r="I229" s="71" t="str">
        <f aca="false">IFERROR(IF(Análisis!$K$70="🟡 SOBRESTOCK",Análisis!H70,""),"—")</f>
        <v/>
      </c>
      <c r="J229" s="67" t="str">
        <f aca="false">IFERROR(IF(Análisis!$K$70="🟡 SOBRESTOCK",Análisis!O70,""),"—")</f>
        <v/>
      </c>
    </row>
    <row r="230" customFormat="false" ht="15.75" hidden="false" customHeight="true" outlineLevel="0" collapsed="false">
      <c r="A230" s="67" t="str">
        <f aca="false">IFERROR(IF(Análisis!$K$71="🟡 SOBRESTOCK",Análisis!A71,""),"—")</f>
        <v/>
      </c>
      <c r="B230" s="68" t="str">
        <f aca="false">IFERROR(IF(Análisis!$K$71="🟡 SOBRESTOCK",Análisis!B71,""),"—")</f>
        <v/>
      </c>
      <c r="C230" s="67" t="str">
        <f aca="false">IFERROR(IF(Análisis!$K$71="🟡 SOBRESTOCK",Análisis!C71,""),"—")</f>
        <v/>
      </c>
      <c r="D230" s="67" t="str">
        <f aca="false">IFERROR(IF(Análisis!$K$71="🟡 SOBRESTOCK",Análisis!D71,""),"—")</f>
        <v/>
      </c>
      <c r="E230" s="69" t="str">
        <f aca="false">IFERROR(IF(Análisis!$K$71="🟡 SOBRESTOCK",Análisis!E71,""),"—")</f>
        <v/>
      </c>
      <c r="F230" s="70" t="str">
        <f aca="false">IFERROR(IF(Análisis!$K$71="🟡 SOBRESTOCK",Análisis!F71,""),"—")</f>
        <v/>
      </c>
      <c r="G230" s="67" t="str">
        <f aca="false">IFERROR(IF(Análisis!$K$71="🟡 SOBRESTOCK",Análisis!I71,""),"—")</f>
        <v/>
      </c>
      <c r="H230" s="67" t="str">
        <f aca="false">IFERROR(IF(Análisis!$K$71="🟡 SOBRESTOCK",Análisis!M71,""),"—")</f>
        <v/>
      </c>
      <c r="I230" s="71" t="str">
        <f aca="false">IFERROR(IF(Análisis!$K$71="🟡 SOBRESTOCK",Análisis!H71,""),"—")</f>
        <v/>
      </c>
      <c r="J230" s="67" t="str">
        <f aca="false">IFERROR(IF(Análisis!$K$71="🟡 SOBRESTOCK",Análisis!O71,""),"—")</f>
        <v/>
      </c>
    </row>
    <row r="231" customFormat="false" ht="15.75" hidden="false" customHeight="true" outlineLevel="0" collapsed="false">
      <c r="A231" s="67" t="str">
        <f aca="false">IFERROR(IF(Análisis!$K$72="🟡 SOBRESTOCK",Análisis!A72,""),"—")</f>
        <v/>
      </c>
      <c r="B231" s="68" t="str">
        <f aca="false">IFERROR(IF(Análisis!$K$72="🟡 SOBRESTOCK",Análisis!B72,""),"—")</f>
        <v/>
      </c>
      <c r="C231" s="67" t="str">
        <f aca="false">IFERROR(IF(Análisis!$K$72="🟡 SOBRESTOCK",Análisis!C72,""),"—")</f>
        <v/>
      </c>
      <c r="D231" s="67" t="str">
        <f aca="false">IFERROR(IF(Análisis!$K$72="🟡 SOBRESTOCK",Análisis!D72,""),"—")</f>
        <v/>
      </c>
      <c r="E231" s="69" t="str">
        <f aca="false">IFERROR(IF(Análisis!$K$72="🟡 SOBRESTOCK",Análisis!E72,""),"—")</f>
        <v/>
      </c>
      <c r="F231" s="70" t="str">
        <f aca="false">IFERROR(IF(Análisis!$K$72="🟡 SOBRESTOCK",Análisis!F72,""),"—")</f>
        <v/>
      </c>
      <c r="G231" s="67" t="str">
        <f aca="false">IFERROR(IF(Análisis!$K$72="🟡 SOBRESTOCK",Análisis!I72,""),"—")</f>
        <v/>
      </c>
      <c r="H231" s="67" t="str">
        <f aca="false">IFERROR(IF(Análisis!$K$72="🟡 SOBRESTOCK",Análisis!M72,""),"—")</f>
        <v/>
      </c>
      <c r="I231" s="71" t="str">
        <f aca="false">IFERROR(IF(Análisis!$K$72="🟡 SOBRESTOCK",Análisis!H72,""),"—")</f>
        <v/>
      </c>
      <c r="J231" s="67" t="str">
        <f aca="false">IFERROR(IF(Análisis!$K$72="🟡 SOBRESTOCK",Análisis!O72,""),"—")</f>
        <v/>
      </c>
    </row>
    <row r="232" customFormat="false" ht="15.75" hidden="false" customHeight="true" outlineLevel="0" collapsed="false">
      <c r="A232" s="67" t="str">
        <f aca="false">IFERROR(IF(Análisis!$K$73="🟡 SOBRESTOCK",Análisis!A73,""),"—")</f>
        <v/>
      </c>
      <c r="B232" s="68" t="str">
        <f aca="false">IFERROR(IF(Análisis!$K$73="🟡 SOBRESTOCK",Análisis!B73,""),"—")</f>
        <v/>
      </c>
      <c r="C232" s="67" t="str">
        <f aca="false">IFERROR(IF(Análisis!$K$73="🟡 SOBRESTOCK",Análisis!C73,""),"—")</f>
        <v/>
      </c>
      <c r="D232" s="67" t="str">
        <f aca="false">IFERROR(IF(Análisis!$K$73="🟡 SOBRESTOCK",Análisis!D73,""),"—")</f>
        <v/>
      </c>
      <c r="E232" s="69" t="str">
        <f aca="false">IFERROR(IF(Análisis!$K$73="🟡 SOBRESTOCK",Análisis!E73,""),"—")</f>
        <v/>
      </c>
      <c r="F232" s="70" t="str">
        <f aca="false">IFERROR(IF(Análisis!$K$73="🟡 SOBRESTOCK",Análisis!F73,""),"—")</f>
        <v/>
      </c>
      <c r="G232" s="67" t="str">
        <f aca="false">IFERROR(IF(Análisis!$K$73="🟡 SOBRESTOCK",Análisis!I73,""),"—")</f>
        <v/>
      </c>
      <c r="H232" s="67" t="str">
        <f aca="false">IFERROR(IF(Análisis!$K$73="🟡 SOBRESTOCK",Análisis!M73,""),"—")</f>
        <v/>
      </c>
      <c r="I232" s="71" t="str">
        <f aca="false">IFERROR(IF(Análisis!$K$73="🟡 SOBRESTOCK",Análisis!H73,""),"—")</f>
        <v/>
      </c>
      <c r="J232" s="67" t="str">
        <f aca="false">IFERROR(IF(Análisis!$K$73="🟡 SOBRESTOCK",Análisis!O73,""),"—")</f>
        <v/>
      </c>
    </row>
    <row r="233" customFormat="false" ht="15.75" hidden="false" customHeight="true" outlineLevel="0" collapsed="false">
      <c r="A233" s="67" t="str">
        <f aca="false">IFERROR(IF(Análisis!$K$74="🟡 SOBRESTOCK",Análisis!A74,""),"—")</f>
        <v>SKU-070</v>
      </c>
      <c r="B233" s="68" t="str">
        <f aca="false">IFERROR(IF(Análisis!$K$74="🟡 SOBRESTOCK",Análisis!B74,""),"—")</f>
        <v>Toallas Femeninas x8</v>
      </c>
      <c r="C233" s="67" t="str">
        <f aca="false">IFERROR(IF(Análisis!$K$74="🟡 SOBRESTOCK",Análisis!C74,""),"—")</f>
        <v>Higiene Personal</v>
      </c>
      <c r="D233" s="67" t="n">
        <f aca="false">IFERROR(IF(Análisis!$K$74="🟡 SOBRESTOCK",Análisis!D74,""),"—")</f>
        <v>534</v>
      </c>
      <c r="E233" s="69" t="n">
        <f aca="false">IFERROR(IF(Análisis!$K$74="🟡 SOBRESTOCK",Análisis!E74,""),"—")</f>
        <v>103.5</v>
      </c>
      <c r="F233" s="70" t="n">
        <f aca="false">IFERROR(IF(Análisis!$K$74="🟡 SOBRESTOCK",Análisis!F74,""),"—")</f>
        <v>154.782608695652</v>
      </c>
      <c r="G233" s="67" t="n">
        <f aca="false">IFERROR(IF(Análisis!$K$74="🟡 SOBRESTOCK",Análisis!I74,""),"—")</f>
        <v>27</v>
      </c>
      <c r="H233" s="67" t="str">
        <f aca="false">IFERROR(IF(Análisis!$K$74="🟡 SOBRESTOCK",Análisis!M74,""),"—")</f>
        <v>B</v>
      </c>
      <c r="I233" s="71" t="n">
        <f aca="false">IFERROR(IF(Análisis!$K$74="🟡 SOBRESTOCK",Análisis!H74,""),"—")</f>
        <v>1922.4</v>
      </c>
      <c r="J233" s="67" t="str">
        <f aca="false">IFERROR(IF(Análisis!$K$74="🟡 SOBRESTOCK",Análisis!O74,""),"—")</f>
        <v>Reducir próxima compra</v>
      </c>
    </row>
    <row r="234" customFormat="false" ht="15.75" hidden="false" customHeight="true" outlineLevel="0" collapsed="false">
      <c r="A234" s="67" t="str">
        <f aca="false">IFERROR(IF(Análisis!$K$75="🟡 SOBRESTOCK",Análisis!A75,""),"—")</f>
        <v/>
      </c>
      <c r="B234" s="68" t="str">
        <f aca="false">IFERROR(IF(Análisis!$K$75="🟡 SOBRESTOCK",Análisis!B75,""),"—")</f>
        <v/>
      </c>
      <c r="C234" s="67" t="str">
        <f aca="false">IFERROR(IF(Análisis!$K$75="🟡 SOBRESTOCK",Análisis!C75,""),"—")</f>
        <v/>
      </c>
      <c r="D234" s="67" t="str">
        <f aca="false">IFERROR(IF(Análisis!$K$75="🟡 SOBRESTOCK",Análisis!D75,""),"—")</f>
        <v/>
      </c>
      <c r="E234" s="69" t="str">
        <f aca="false">IFERROR(IF(Análisis!$K$75="🟡 SOBRESTOCK",Análisis!E75,""),"—")</f>
        <v/>
      </c>
      <c r="F234" s="70" t="str">
        <f aca="false">IFERROR(IF(Análisis!$K$75="🟡 SOBRESTOCK",Análisis!F75,""),"—")</f>
        <v/>
      </c>
      <c r="G234" s="67" t="str">
        <f aca="false">IFERROR(IF(Análisis!$K$75="🟡 SOBRESTOCK",Análisis!I75,""),"—")</f>
        <v/>
      </c>
      <c r="H234" s="67" t="str">
        <f aca="false">IFERROR(IF(Análisis!$K$75="🟡 SOBRESTOCK",Análisis!M75,""),"—")</f>
        <v/>
      </c>
      <c r="I234" s="71" t="str">
        <f aca="false">IFERROR(IF(Análisis!$K$75="🟡 SOBRESTOCK",Análisis!H75,""),"—")</f>
        <v/>
      </c>
      <c r="J234" s="67" t="str">
        <f aca="false">IFERROR(IF(Análisis!$K$75="🟡 SOBRESTOCK",Análisis!O75,""),"—")</f>
        <v/>
      </c>
    </row>
    <row r="235" customFormat="false" ht="15.75" hidden="false" customHeight="true" outlineLevel="0" collapsed="false">
      <c r="A235" s="67" t="str">
        <f aca="false">IFERROR(IF(Análisis!$K$76="🟡 SOBRESTOCK",Análisis!A76,""),"—")</f>
        <v/>
      </c>
      <c r="B235" s="68" t="str">
        <f aca="false">IFERROR(IF(Análisis!$K$76="🟡 SOBRESTOCK",Análisis!B76,""),"—")</f>
        <v/>
      </c>
      <c r="C235" s="67" t="str">
        <f aca="false">IFERROR(IF(Análisis!$K$76="🟡 SOBRESTOCK",Análisis!C76,""),"—")</f>
        <v/>
      </c>
      <c r="D235" s="67" t="str">
        <f aca="false">IFERROR(IF(Análisis!$K$76="🟡 SOBRESTOCK",Análisis!D76,""),"—")</f>
        <v/>
      </c>
      <c r="E235" s="69" t="str">
        <f aca="false">IFERROR(IF(Análisis!$K$76="🟡 SOBRESTOCK",Análisis!E76,""),"—")</f>
        <v/>
      </c>
      <c r="F235" s="70" t="str">
        <f aca="false">IFERROR(IF(Análisis!$K$76="🟡 SOBRESTOCK",Análisis!F76,""),"—")</f>
        <v/>
      </c>
      <c r="G235" s="67" t="str">
        <f aca="false">IFERROR(IF(Análisis!$K$76="🟡 SOBRESTOCK",Análisis!I76,""),"—")</f>
        <v/>
      </c>
      <c r="H235" s="67" t="str">
        <f aca="false">IFERROR(IF(Análisis!$K$76="🟡 SOBRESTOCK",Análisis!M76,""),"—")</f>
        <v/>
      </c>
      <c r="I235" s="71" t="str">
        <f aca="false">IFERROR(IF(Análisis!$K$76="🟡 SOBRESTOCK",Análisis!H76,""),"—")</f>
        <v/>
      </c>
      <c r="J235" s="67" t="str">
        <f aca="false">IFERROR(IF(Análisis!$K$76="🟡 SOBRESTOCK",Análisis!O76,""),"—")</f>
        <v/>
      </c>
    </row>
    <row r="236" customFormat="false" ht="15.75" hidden="false" customHeight="true" outlineLevel="0" collapsed="false">
      <c r="A236" s="67" t="str">
        <f aca="false">IFERROR(IF(Análisis!$K$77="🟡 SOBRESTOCK",Análisis!A77,""),"—")</f>
        <v/>
      </c>
      <c r="B236" s="68" t="str">
        <f aca="false">IFERROR(IF(Análisis!$K$77="🟡 SOBRESTOCK",Análisis!B77,""),"—")</f>
        <v/>
      </c>
      <c r="C236" s="67" t="str">
        <f aca="false">IFERROR(IF(Análisis!$K$77="🟡 SOBRESTOCK",Análisis!C77,""),"—")</f>
        <v/>
      </c>
      <c r="D236" s="67" t="str">
        <f aca="false">IFERROR(IF(Análisis!$K$77="🟡 SOBRESTOCK",Análisis!D77,""),"—")</f>
        <v/>
      </c>
      <c r="E236" s="69" t="str">
        <f aca="false">IFERROR(IF(Análisis!$K$77="🟡 SOBRESTOCK",Análisis!E77,""),"—")</f>
        <v/>
      </c>
      <c r="F236" s="70" t="str">
        <f aca="false">IFERROR(IF(Análisis!$K$77="🟡 SOBRESTOCK",Análisis!F77,""),"—")</f>
        <v/>
      </c>
      <c r="G236" s="67" t="str">
        <f aca="false">IFERROR(IF(Análisis!$K$77="🟡 SOBRESTOCK",Análisis!I77,""),"—")</f>
        <v/>
      </c>
      <c r="H236" s="67" t="str">
        <f aca="false">IFERROR(IF(Análisis!$K$77="🟡 SOBRESTOCK",Análisis!M77,""),"—")</f>
        <v/>
      </c>
      <c r="I236" s="71" t="str">
        <f aca="false">IFERROR(IF(Análisis!$K$77="🟡 SOBRESTOCK",Análisis!H77,""),"—")</f>
        <v/>
      </c>
      <c r="J236" s="67" t="str">
        <f aca="false">IFERROR(IF(Análisis!$K$77="🟡 SOBRESTOCK",Análisis!O77,""),"—")</f>
        <v/>
      </c>
    </row>
    <row r="237" customFormat="false" ht="15.75" hidden="false" customHeight="true" outlineLevel="0" collapsed="false">
      <c r="A237" s="67" t="str">
        <f aca="false">IFERROR(IF(Análisis!$K$78="🟡 SOBRESTOCK",Análisis!A78,""),"—")</f>
        <v/>
      </c>
      <c r="B237" s="68" t="str">
        <f aca="false">IFERROR(IF(Análisis!$K$78="🟡 SOBRESTOCK",Análisis!B78,""),"—")</f>
        <v/>
      </c>
      <c r="C237" s="67" t="str">
        <f aca="false">IFERROR(IF(Análisis!$K$78="🟡 SOBRESTOCK",Análisis!C78,""),"—")</f>
        <v/>
      </c>
      <c r="D237" s="67" t="str">
        <f aca="false">IFERROR(IF(Análisis!$K$78="🟡 SOBRESTOCK",Análisis!D78,""),"—")</f>
        <v/>
      </c>
      <c r="E237" s="69" t="str">
        <f aca="false">IFERROR(IF(Análisis!$K$78="🟡 SOBRESTOCK",Análisis!E78,""),"—")</f>
        <v/>
      </c>
      <c r="F237" s="70" t="str">
        <f aca="false">IFERROR(IF(Análisis!$K$78="🟡 SOBRESTOCK",Análisis!F78,""),"—")</f>
        <v/>
      </c>
      <c r="G237" s="67" t="str">
        <f aca="false">IFERROR(IF(Análisis!$K$78="🟡 SOBRESTOCK",Análisis!I78,""),"—")</f>
        <v/>
      </c>
      <c r="H237" s="67" t="str">
        <f aca="false">IFERROR(IF(Análisis!$K$78="🟡 SOBRESTOCK",Análisis!M78,""),"—")</f>
        <v/>
      </c>
      <c r="I237" s="71" t="str">
        <f aca="false">IFERROR(IF(Análisis!$K$78="🟡 SOBRESTOCK",Análisis!H78,""),"—")</f>
        <v/>
      </c>
      <c r="J237" s="67" t="str">
        <f aca="false">IFERROR(IF(Análisis!$K$78="🟡 SOBRESTOCK",Análisis!O78,""),"—")</f>
        <v/>
      </c>
    </row>
    <row r="238" customFormat="false" ht="15.75" hidden="false" customHeight="true" outlineLevel="0" collapsed="false">
      <c r="A238" s="67" t="str">
        <f aca="false">IFERROR(IF(Análisis!$K$79="🟡 SOBRESTOCK",Análisis!A79,""),"—")</f>
        <v/>
      </c>
      <c r="B238" s="68" t="str">
        <f aca="false">IFERROR(IF(Análisis!$K$79="🟡 SOBRESTOCK",Análisis!B79,""),"—")</f>
        <v/>
      </c>
      <c r="C238" s="67" t="str">
        <f aca="false">IFERROR(IF(Análisis!$K$79="🟡 SOBRESTOCK",Análisis!C79,""),"—")</f>
        <v/>
      </c>
      <c r="D238" s="67" t="str">
        <f aca="false">IFERROR(IF(Análisis!$K$79="🟡 SOBRESTOCK",Análisis!D79,""),"—")</f>
        <v/>
      </c>
      <c r="E238" s="69" t="str">
        <f aca="false">IFERROR(IF(Análisis!$K$79="🟡 SOBRESTOCK",Análisis!E79,""),"—")</f>
        <v/>
      </c>
      <c r="F238" s="70" t="str">
        <f aca="false">IFERROR(IF(Análisis!$K$79="🟡 SOBRESTOCK",Análisis!F79,""),"—")</f>
        <v/>
      </c>
      <c r="G238" s="67" t="str">
        <f aca="false">IFERROR(IF(Análisis!$K$79="🟡 SOBRESTOCK",Análisis!I79,""),"—")</f>
        <v/>
      </c>
      <c r="H238" s="67" t="str">
        <f aca="false">IFERROR(IF(Análisis!$K$79="🟡 SOBRESTOCK",Análisis!M79,""),"—")</f>
        <v/>
      </c>
      <c r="I238" s="71" t="str">
        <f aca="false">IFERROR(IF(Análisis!$K$79="🟡 SOBRESTOCK",Análisis!H79,""),"—")</f>
        <v/>
      </c>
      <c r="J238" s="67" t="str">
        <f aca="false">IFERROR(IF(Análisis!$K$79="🟡 SOBRESTOCK",Análisis!O79,""),"—")</f>
        <v/>
      </c>
    </row>
    <row r="241" customFormat="false" ht="21.75" hidden="false" customHeight="true" outlineLevel="0" collapsed="false">
      <c r="A241" s="74" t="s">
        <v>286</v>
      </c>
      <c r="B241" s="74"/>
      <c r="C241" s="74"/>
      <c r="D241" s="74"/>
      <c r="E241" s="74"/>
      <c r="F241" s="74"/>
      <c r="G241" s="74"/>
      <c r="H241" s="74"/>
      <c r="I241" s="74"/>
      <c r="J241" s="74"/>
    </row>
    <row r="242" customFormat="false" ht="27.75" hidden="false" customHeight="true" outlineLevel="0" collapsed="false">
      <c r="A242" s="66" t="s">
        <v>2</v>
      </c>
      <c r="B242" s="66" t="s">
        <v>3</v>
      </c>
      <c r="C242" s="66" t="s">
        <v>4</v>
      </c>
      <c r="D242" s="66" t="s">
        <v>8</v>
      </c>
      <c r="E242" s="66" t="s">
        <v>17</v>
      </c>
      <c r="F242" s="66" t="s">
        <v>280</v>
      </c>
      <c r="G242" s="66" t="s">
        <v>9</v>
      </c>
      <c r="H242" s="66" t="s">
        <v>281</v>
      </c>
      <c r="I242" s="66" t="s">
        <v>282</v>
      </c>
      <c r="J242" s="66" t="s">
        <v>283</v>
      </c>
    </row>
    <row r="243" customFormat="false" ht="15.75" hidden="false" customHeight="true" outlineLevel="0" collapsed="false">
      <c r="A243" s="67" t="str">
        <f aca="false">IFERROR(IF(Análisis!$K$5="🟡 CRÍTICO",Análisis!A5,""),"—")</f>
        <v/>
      </c>
      <c r="B243" s="68" t="str">
        <f aca="false">IFERROR(IF(Análisis!$K$5="🟡 CRÍTICO",Análisis!B5,""),"—")</f>
        <v/>
      </c>
      <c r="C243" s="67" t="str">
        <f aca="false">IFERROR(IF(Análisis!$K$5="🟡 CRÍTICO",Análisis!C5,""),"—")</f>
        <v/>
      </c>
      <c r="D243" s="67" t="str">
        <f aca="false">IFERROR(IF(Análisis!$K$5="🟡 CRÍTICO",Análisis!D5,""),"—")</f>
        <v/>
      </c>
      <c r="E243" s="69" t="str">
        <f aca="false">IFERROR(IF(Análisis!$K$5="🟡 CRÍTICO",Análisis!E5,""),"—")</f>
        <v/>
      </c>
      <c r="F243" s="70" t="str">
        <f aca="false">IFERROR(IF(Análisis!$K$5="🟡 CRÍTICO",Análisis!F5,""),"—")</f>
        <v/>
      </c>
      <c r="G243" s="67" t="str">
        <f aca="false">IFERROR(IF(Análisis!$K$5="🟡 CRÍTICO",Análisis!I5,""),"—")</f>
        <v/>
      </c>
      <c r="H243" s="67" t="str">
        <f aca="false">IFERROR(IF(Análisis!$K$5="🟡 CRÍTICO",Análisis!M5,""),"—")</f>
        <v/>
      </c>
      <c r="I243" s="71" t="str">
        <f aca="false">IFERROR(IF(Análisis!$K$5="🟡 CRÍTICO",Análisis!H5,""),"—")</f>
        <v/>
      </c>
      <c r="J243" s="67" t="str">
        <f aca="false">IFERROR(IF(Análisis!$K$5="🟡 CRÍTICO",Análisis!O5,""),"—")</f>
        <v/>
      </c>
    </row>
    <row r="244" customFormat="false" ht="15.75" hidden="false" customHeight="true" outlineLevel="0" collapsed="false">
      <c r="A244" s="67" t="str">
        <f aca="false">IFERROR(IF(Análisis!$K$6="🟡 CRÍTICO",Análisis!A6,""),"—")</f>
        <v/>
      </c>
      <c r="B244" s="68" t="str">
        <f aca="false">IFERROR(IF(Análisis!$K$6="🟡 CRÍTICO",Análisis!B6,""),"—")</f>
        <v/>
      </c>
      <c r="C244" s="67" t="str">
        <f aca="false">IFERROR(IF(Análisis!$K$6="🟡 CRÍTICO",Análisis!C6,""),"—")</f>
        <v/>
      </c>
      <c r="D244" s="67" t="str">
        <f aca="false">IFERROR(IF(Análisis!$K$6="🟡 CRÍTICO",Análisis!D6,""),"—")</f>
        <v/>
      </c>
      <c r="E244" s="69" t="str">
        <f aca="false">IFERROR(IF(Análisis!$K$6="🟡 CRÍTICO",Análisis!E6,""),"—")</f>
        <v/>
      </c>
      <c r="F244" s="70" t="str">
        <f aca="false">IFERROR(IF(Análisis!$K$6="🟡 CRÍTICO",Análisis!F6,""),"—")</f>
        <v/>
      </c>
      <c r="G244" s="67" t="str">
        <f aca="false">IFERROR(IF(Análisis!$K$6="🟡 CRÍTICO",Análisis!I6,""),"—")</f>
        <v/>
      </c>
      <c r="H244" s="67" t="str">
        <f aca="false">IFERROR(IF(Análisis!$K$6="🟡 CRÍTICO",Análisis!M6,""),"—")</f>
        <v/>
      </c>
      <c r="I244" s="71" t="str">
        <f aca="false">IFERROR(IF(Análisis!$K$6="🟡 CRÍTICO",Análisis!H6,""),"—")</f>
        <v/>
      </c>
      <c r="J244" s="67" t="str">
        <f aca="false">IFERROR(IF(Análisis!$K$6="🟡 CRÍTICO",Análisis!O6,""),"—")</f>
        <v/>
      </c>
    </row>
    <row r="245" customFormat="false" ht="15.75" hidden="false" customHeight="true" outlineLevel="0" collapsed="false">
      <c r="A245" s="67" t="str">
        <f aca="false">IFERROR(IF(Análisis!$K$7="🟡 CRÍTICO",Análisis!A7,""),"—")</f>
        <v/>
      </c>
      <c r="B245" s="68" t="str">
        <f aca="false">IFERROR(IF(Análisis!$K$7="🟡 CRÍTICO",Análisis!B7,""),"—")</f>
        <v/>
      </c>
      <c r="C245" s="67" t="str">
        <f aca="false">IFERROR(IF(Análisis!$K$7="🟡 CRÍTICO",Análisis!C7,""),"—")</f>
        <v/>
      </c>
      <c r="D245" s="67" t="str">
        <f aca="false">IFERROR(IF(Análisis!$K$7="🟡 CRÍTICO",Análisis!D7,""),"—")</f>
        <v/>
      </c>
      <c r="E245" s="69" t="str">
        <f aca="false">IFERROR(IF(Análisis!$K$7="🟡 CRÍTICO",Análisis!E7,""),"—")</f>
        <v/>
      </c>
      <c r="F245" s="70" t="str">
        <f aca="false">IFERROR(IF(Análisis!$K$7="🟡 CRÍTICO",Análisis!F7,""),"—")</f>
        <v/>
      </c>
      <c r="G245" s="67" t="str">
        <f aca="false">IFERROR(IF(Análisis!$K$7="🟡 CRÍTICO",Análisis!I7,""),"—")</f>
        <v/>
      </c>
      <c r="H245" s="67" t="str">
        <f aca="false">IFERROR(IF(Análisis!$K$7="🟡 CRÍTICO",Análisis!M7,""),"—")</f>
        <v/>
      </c>
      <c r="I245" s="71" t="str">
        <f aca="false">IFERROR(IF(Análisis!$K$7="🟡 CRÍTICO",Análisis!H7,""),"—")</f>
        <v/>
      </c>
      <c r="J245" s="67" t="str">
        <f aca="false">IFERROR(IF(Análisis!$K$7="🟡 CRÍTICO",Análisis!O7,""),"—")</f>
        <v/>
      </c>
    </row>
    <row r="246" customFormat="false" ht="15.75" hidden="false" customHeight="true" outlineLevel="0" collapsed="false">
      <c r="A246" s="67" t="str">
        <f aca="false">IFERROR(IF(Análisis!$K$8="🟡 CRÍTICO",Análisis!A8,""),"—")</f>
        <v/>
      </c>
      <c r="B246" s="68" t="str">
        <f aca="false">IFERROR(IF(Análisis!$K$8="🟡 CRÍTICO",Análisis!B8,""),"—")</f>
        <v/>
      </c>
      <c r="C246" s="67" t="str">
        <f aca="false">IFERROR(IF(Análisis!$K$8="🟡 CRÍTICO",Análisis!C8,""),"—")</f>
        <v/>
      </c>
      <c r="D246" s="67" t="str">
        <f aca="false">IFERROR(IF(Análisis!$K$8="🟡 CRÍTICO",Análisis!D8,""),"—")</f>
        <v/>
      </c>
      <c r="E246" s="69" t="str">
        <f aca="false">IFERROR(IF(Análisis!$K$8="🟡 CRÍTICO",Análisis!E8,""),"—")</f>
        <v/>
      </c>
      <c r="F246" s="70" t="str">
        <f aca="false">IFERROR(IF(Análisis!$K$8="🟡 CRÍTICO",Análisis!F8,""),"—")</f>
        <v/>
      </c>
      <c r="G246" s="67" t="str">
        <f aca="false">IFERROR(IF(Análisis!$K$8="🟡 CRÍTICO",Análisis!I8,""),"—")</f>
        <v/>
      </c>
      <c r="H246" s="67" t="str">
        <f aca="false">IFERROR(IF(Análisis!$K$8="🟡 CRÍTICO",Análisis!M8,""),"—")</f>
        <v/>
      </c>
      <c r="I246" s="71" t="str">
        <f aca="false">IFERROR(IF(Análisis!$K$8="🟡 CRÍTICO",Análisis!H8,""),"—")</f>
        <v/>
      </c>
      <c r="J246" s="67" t="str">
        <f aca="false">IFERROR(IF(Análisis!$K$8="🟡 CRÍTICO",Análisis!O8,""),"—")</f>
        <v/>
      </c>
    </row>
    <row r="247" customFormat="false" ht="15.75" hidden="false" customHeight="true" outlineLevel="0" collapsed="false">
      <c r="A247" s="67" t="str">
        <f aca="false">IFERROR(IF(Análisis!$K$9="🟡 CRÍTICO",Análisis!A9,""),"—")</f>
        <v/>
      </c>
      <c r="B247" s="68" t="str">
        <f aca="false">IFERROR(IF(Análisis!$K$9="🟡 CRÍTICO",Análisis!B9,""),"—")</f>
        <v/>
      </c>
      <c r="C247" s="67" t="str">
        <f aca="false">IFERROR(IF(Análisis!$K$9="🟡 CRÍTICO",Análisis!C9,""),"—")</f>
        <v/>
      </c>
      <c r="D247" s="67" t="str">
        <f aca="false">IFERROR(IF(Análisis!$K$9="🟡 CRÍTICO",Análisis!D9,""),"—")</f>
        <v/>
      </c>
      <c r="E247" s="69" t="str">
        <f aca="false">IFERROR(IF(Análisis!$K$9="🟡 CRÍTICO",Análisis!E9,""),"—")</f>
        <v/>
      </c>
      <c r="F247" s="70" t="str">
        <f aca="false">IFERROR(IF(Análisis!$K$9="🟡 CRÍTICO",Análisis!F9,""),"—")</f>
        <v/>
      </c>
      <c r="G247" s="67" t="str">
        <f aca="false">IFERROR(IF(Análisis!$K$9="🟡 CRÍTICO",Análisis!I9,""),"—")</f>
        <v/>
      </c>
      <c r="H247" s="67" t="str">
        <f aca="false">IFERROR(IF(Análisis!$K$9="🟡 CRÍTICO",Análisis!M9,""),"—")</f>
        <v/>
      </c>
      <c r="I247" s="71" t="str">
        <f aca="false">IFERROR(IF(Análisis!$K$9="🟡 CRÍTICO",Análisis!H9,""),"—")</f>
        <v/>
      </c>
      <c r="J247" s="67" t="str">
        <f aca="false">IFERROR(IF(Análisis!$K$9="🟡 CRÍTICO",Análisis!O9,""),"—")</f>
        <v/>
      </c>
    </row>
    <row r="248" customFormat="false" ht="15.75" hidden="false" customHeight="true" outlineLevel="0" collapsed="false">
      <c r="A248" s="67" t="str">
        <f aca="false">IFERROR(IF(Análisis!$K$10="🟡 CRÍTICO",Análisis!A10,""),"—")</f>
        <v/>
      </c>
      <c r="B248" s="68" t="str">
        <f aca="false">IFERROR(IF(Análisis!$K$10="🟡 CRÍTICO",Análisis!B10,""),"—")</f>
        <v/>
      </c>
      <c r="C248" s="67" t="str">
        <f aca="false">IFERROR(IF(Análisis!$K$10="🟡 CRÍTICO",Análisis!C10,""),"—")</f>
        <v/>
      </c>
      <c r="D248" s="67" t="str">
        <f aca="false">IFERROR(IF(Análisis!$K$10="🟡 CRÍTICO",Análisis!D10,""),"—")</f>
        <v/>
      </c>
      <c r="E248" s="69" t="str">
        <f aca="false">IFERROR(IF(Análisis!$K$10="🟡 CRÍTICO",Análisis!E10,""),"—")</f>
        <v/>
      </c>
      <c r="F248" s="70" t="str">
        <f aca="false">IFERROR(IF(Análisis!$K$10="🟡 CRÍTICO",Análisis!F10,""),"—")</f>
        <v/>
      </c>
      <c r="G248" s="67" t="str">
        <f aca="false">IFERROR(IF(Análisis!$K$10="🟡 CRÍTICO",Análisis!I10,""),"—")</f>
        <v/>
      </c>
      <c r="H248" s="67" t="str">
        <f aca="false">IFERROR(IF(Análisis!$K$10="🟡 CRÍTICO",Análisis!M10,""),"—")</f>
        <v/>
      </c>
      <c r="I248" s="71" t="str">
        <f aca="false">IFERROR(IF(Análisis!$K$10="🟡 CRÍTICO",Análisis!H10,""),"—")</f>
        <v/>
      </c>
      <c r="J248" s="67" t="str">
        <f aca="false">IFERROR(IF(Análisis!$K$10="🟡 CRÍTICO",Análisis!O10,""),"—")</f>
        <v/>
      </c>
    </row>
    <row r="249" customFormat="false" ht="15.75" hidden="false" customHeight="true" outlineLevel="0" collapsed="false">
      <c r="A249" s="67" t="str">
        <f aca="false">IFERROR(IF(Análisis!$K$11="🟡 CRÍTICO",Análisis!A11,""),"—")</f>
        <v/>
      </c>
      <c r="B249" s="68" t="str">
        <f aca="false">IFERROR(IF(Análisis!$K$11="🟡 CRÍTICO",Análisis!B11,""),"—")</f>
        <v/>
      </c>
      <c r="C249" s="67" t="str">
        <f aca="false">IFERROR(IF(Análisis!$K$11="🟡 CRÍTICO",Análisis!C11,""),"—")</f>
        <v/>
      </c>
      <c r="D249" s="67" t="str">
        <f aca="false">IFERROR(IF(Análisis!$K$11="🟡 CRÍTICO",Análisis!D11,""),"—")</f>
        <v/>
      </c>
      <c r="E249" s="69" t="str">
        <f aca="false">IFERROR(IF(Análisis!$K$11="🟡 CRÍTICO",Análisis!E11,""),"—")</f>
        <v/>
      </c>
      <c r="F249" s="70" t="str">
        <f aca="false">IFERROR(IF(Análisis!$K$11="🟡 CRÍTICO",Análisis!F11,""),"—")</f>
        <v/>
      </c>
      <c r="G249" s="67" t="str">
        <f aca="false">IFERROR(IF(Análisis!$K$11="🟡 CRÍTICO",Análisis!I11,""),"—")</f>
        <v/>
      </c>
      <c r="H249" s="67" t="str">
        <f aca="false">IFERROR(IF(Análisis!$K$11="🟡 CRÍTICO",Análisis!M11,""),"—")</f>
        <v/>
      </c>
      <c r="I249" s="71" t="str">
        <f aca="false">IFERROR(IF(Análisis!$K$11="🟡 CRÍTICO",Análisis!H11,""),"—")</f>
        <v/>
      </c>
      <c r="J249" s="67" t="str">
        <f aca="false">IFERROR(IF(Análisis!$K$11="🟡 CRÍTICO",Análisis!O11,""),"—")</f>
        <v/>
      </c>
    </row>
    <row r="250" customFormat="false" ht="15.75" hidden="false" customHeight="true" outlineLevel="0" collapsed="false">
      <c r="A250" s="67" t="str">
        <f aca="false">IFERROR(IF(Análisis!$K$12="🟡 CRÍTICO",Análisis!A12,""),"—")</f>
        <v/>
      </c>
      <c r="B250" s="68" t="str">
        <f aca="false">IFERROR(IF(Análisis!$K$12="🟡 CRÍTICO",Análisis!B12,""),"—")</f>
        <v/>
      </c>
      <c r="C250" s="67" t="str">
        <f aca="false">IFERROR(IF(Análisis!$K$12="🟡 CRÍTICO",Análisis!C12,""),"—")</f>
        <v/>
      </c>
      <c r="D250" s="67" t="str">
        <f aca="false">IFERROR(IF(Análisis!$K$12="🟡 CRÍTICO",Análisis!D12,""),"—")</f>
        <v/>
      </c>
      <c r="E250" s="69" t="str">
        <f aca="false">IFERROR(IF(Análisis!$K$12="🟡 CRÍTICO",Análisis!E12,""),"—")</f>
        <v/>
      </c>
      <c r="F250" s="70" t="str">
        <f aca="false">IFERROR(IF(Análisis!$K$12="🟡 CRÍTICO",Análisis!F12,""),"—")</f>
        <v/>
      </c>
      <c r="G250" s="67" t="str">
        <f aca="false">IFERROR(IF(Análisis!$K$12="🟡 CRÍTICO",Análisis!I12,""),"—")</f>
        <v/>
      </c>
      <c r="H250" s="67" t="str">
        <f aca="false">IFERROR(IF(Análisis!$K$12="🟡 CRÍTICO",Análisis!M12,""),"—")</f>
        <v/>
      </c>
      <c r="I250" s="71" t="str">
        <f aca="false">IFERROR(IF(Análisis!$K$12="🟡 CRÍTICO",Análisis!H12,""),"—")</f>
        <v/>
      </c>
      <c r="J250" s="67" t="str">
        <f aca="false">IFERROR(IF(Análisis!$K$12="🟡 CRÍTICO",Análisis!O12,""),"—")</f>
        <v/>
      </c>
    </row>
    <row r="251" customFormat="false" ht="15.75" hidden="false" customHeight="true" outlineLevel="0" collapsed="false">
      <c r="A251" s="67" t="str">
        <f aca="false">IFERROR(IF(Análisis!$K$13="🟡 CRÍTICO",Análisis!A13,""),"—")</f>
        <v/>
      </c>
      <c r="B251" s="68" t="str">
        <f aca="false">IFERROR(IF(Análisis!$K$13="🟡 CRÍTICO",Análisis!B13,""),"—")</f>
        <v/>
      </c>
      <c r="C251" s="67" t="str">
        <f aca="false">IFERROR(IF(Análisis!$K$13="🟡 CRÍTICO",Análisis!C13,""),"—")</f>
        <v/>
      </c>
      <c r="D251" s="67" t="str">
        <f aca="false">IFERROR(IF(Análisis!$K$13="🟡 CRÍTICO",Análisis!D13,""),"—")</f>
        <v/>
      </c>
      <c r="E251" s="69" t="str">
        <f aca="false">IFERROR(IF(Análisis!$K$13="🟡 CRÍTICO",Análisis!E13,""),"—")</f>
        <v/>
      </c>
      <c r="F251" s="70" t="str">
        <f aca="false">IFERROR(IF(Análisis!$K$13="🟡 CRÍTICO",Análisis!F13,""),"—")</f>
        <v/>
      </c>
      <c r="G251" s="67" t="str">
        <f aca="false">IFERROR(IF(Análisis!$K$13="🟡 CRÍTICO",Análisis!I13,""),"—")</f>
        <v/>
      </c>
      <c r="H251" s="67" t="str">
        <f aca="false">IFERROR(IF(Análisis!$K$13="🟡 CRÍTICO",Análisis!M13,""),"—")</f>
        <v/>
      </c>
      <c r="I251" s="71" t="str">
        <f aca="false">IFERROR(IF(Análisis!$K$13="🟡 CRÍTICO",Análisis!H13,""),"—")</f>
        <v/>
      </c>
      <c r="J251" s="67" t="str">
        <f aca="false">IFERROR(IF(Análisis!$K$13="🟡 CRÍTICO",Análisis!O13,""),"—")</f>
        <v/>
      </c>
    </row>
    <row r="252" customFormat="false" ht="15.75" hidden="false" customHeight="true" outlineLevel="0" collapsed="false">
      <c r="A252" s="67" t="str">
        <f aca="false">IFERROR(IF(Análisis!$K$14="🟡 CRÍTICO",Análisis!A14,""),"—")</f>
        <v/>
      </c>
      <c r="B252" s="68" t="str">
        <f aca="false">IFERROR(IF(Análisis!$K$14="🟡 CRÍTICO",Análisis!B14,""),"—")</f>
        <v/>
      </c>
      <c r="C252" s="67" t="str">
        <f aca="false">IFERROR(IF(Análisis!$K$14="🟡 CRÍTICO",Análisis!C14,""),"—")</f>
        <v/>
      </c>
      <c r="D252" s="67" t="str">
        <f aca="false">IFERROR(IF(Análisis!$K$14="🟡 CRÍTICO",Análisis!D14,""),"—")</f>
        <v/>
      </c>
      <c r="E252" s="69" t="str">
        <f aca="false">IFERROR(IF(Análisis!$K$14="🟡 CRÍTICO",Análisis!E14,""),"—")</f>
        <v/>
      </c>
      <c r="F252" s="70" t="str">
        <f aca="false">IFERROR(IF(Análisis!$K$14="🟡 CRÍTICO",Análisis!F14,""),"—")</f>
        <v/>
      </c>
      <c r="G252" s="67" t="str">
        <f aca="false">IFERROR(IF(Análisis!$K$14="🟡 CRÍTICO",Análisis!I14,""),"—")</f>
        <v/>
      </c>
      <c r="H252" s="67" t="str">
        <f aca="false">IFERROR(IF(Análisis!$K$14="🟡 CRÍTICO",Análisis!M14,""),"—")</f>
        <v/>
      </c>
      <c r="I252" s="71" t="str">
        <f aca="false">IFERROR(IF(Análisis!$K$14="🟡 CRÍTICO",Análisis!H14,""),"—")</f>
        <v/>
      </c>
      <c r="J252" s="67" t="str">
        <f aca="false">IFERROR(IF(Análisis!$K$14="🟡 CRÍTICO",Análisis!O14,""),"—")</f>
        <v/>
      </c>
    </row>
    <row r="253" customFormat="false" ht="15.75" hidden="false" customHeight="true" outlineLevel="0" collapsed="false">
      <c r="A253" s="67" t="str">
        <f aca="false">IFERROR(IF(Análisis!$K$15="🟡 CRÍTICO",Análisis!A15,""),"—")</f>
        <v/>
      </c>
      <c r="B253" s="68" t="str">
        <f aca="false">IFERROR(IF(Análisis!$K$15="🟡 CRÍTICO",Análisis!B15,""),"—")</f>
        <v/>
      </c>
      <c r="C253" s="67" t="str">
        <f aca="false">IFERROR(IF(Análisis!$K$15="🟡 CRÍTICO",Análisis!C15,""),"—")</f>
        <v/>
      </c>
      <c r="D253" s="67" t="str">
        <f aca="false">IFERROR(IF(Análisis!$K$15="🟡 CRÍTICO",Análisis!D15,""),"—")</f>
        <v/>
      </c>
      <c r="E253" s="69" t="str">
        <f aca="false">IFERROR(IF(Análisis!$K$15="🟡 CRÍTICO",Análisis!E15,""),"—")</f>
        <v/>
      </c>
      <c r="F253" s="70" t="str">
        <f aca="false">IFERROR(IF(Análisis!$K$15="🟡 CRÍTICO",Análisis!F15,""),"—")</f>
        <v/>
      </c>
      <c r="G253" s="67" t="str">
        <f aca="false">IFERROR(IF(Análisis!$K$15="🟡 CRÍTICO",Análisis!I15,""),"—")</f>
        <v/>
      </c>
      <c r="H253" s="67" t="str">
        <f aca="false">IFERROR(IF(Análisis!$K$15="🟡 CRÍTICO",Análisis!M15,""),"—")</f>
        <v/>
      </c>
      <c r="I253" s="71" t="str">
        <f aca="false">IFERROR(IF(Análisis!$K$15="🟡 CRÍTICO",Análisis!H15,""),"—")</f>
        <v/>
      </c>
      <c r="J253" s="67" t="str">
        <f aca="false">IFERROR(IF(Análisis!$K$15="🟡 CRÍTICO",Análisis!O15,""),"—")</f>
        <v/>
      </c>
    </row>
    <row r="254" customFormat="false" ht="15.75" hidden="false" customHeight="true" outlineLevel="0" collapsed="false">
      <c r="A254" s="67" t="str">
        <f aca="false">IFERROR(IF(Análisis!$K$16="🟡 CRÍTICO",Análisis!A16,""),"—")</f>
        <v/>
      </c>
      <c r="B254" s="68" t="str">
        <f aca="false">IFERROR(IF(Análisis!$K$16="🟡 CRÍTICO",Análisis!B16,""),"—")</f>
        <v/>
      </c>
      <c r="C254" s="67" t="str">
        <f aca="false">IFERROR(IF(Análisis!$K$16="🟡 CRÍTICO",Análisis!C16,""),"—")</f>
        <v/>
      </c>
      <c r="D254" s="67" t="str">
        <f aca="false">IFERROR(IF(Análisis!$K$16="🟡 CRÍTICO",Análisis!D16,""),"—")</f>
        <v/>
      </c>
      <c r="E254" s="69" t="str">
        <f aca="false">IFERROR(IF(Análisis!$K$16="🟡 CRÍTICO",Análisis!E16,""),"—")</f>
        <v/>
      </c>
      <c r="F254" s="70" t="str">
        <f aca="false">IFERROR(IF(Análisis!$K$16="🟡 CRÍTICO",Análisis!F16,""),"—")</f>
        <v/>
      </c>
      <c r="G254" s="67" t="str">
        <f aca="false">IFERROR(IF(Análisis!$K$16="🟡 CRÍTICO",Análisis!I16,""),"—")</f>
        <v/>
      </c>
      <c r="H254" s="67" t="str">
        <f aca="false">IFERROR(IF(Análisis!$K$16="🟡 CRÍTICO",Análisis!M16,""),"—")</f>
        <v/>
      </c>
      <c r="I254" s="71" t="str">
        <f aca="false">IFERROR(IF(Análisis!$K$16="🟡 CRÍTICO",Análisis!H16,""),"—")</f>
        <v/>
      </c>
      <c r="J254" s="67" t="str">
        <f aca="false">IFERROR(IF(Análisis!$K$16="🟡 CRÍTICO",Análisis!O16,""),"—")</f>
        <v/>
      </c>
    </row>
    <row r="255" customFormat="false" ht="15.75" hidden="false" customHeight="true" outlineLevel="0" collapsed="false">
      <c r="A255" s="67" t="str">
        <f aca="false">IFERROR(IF(Análisis!$K$17="🟡 CRÍTICO",Análisis!A17,""),"—")</f>
        <v/>
      </c>
      <c r="B255" s="68" t="str">
        <f aca="false">IFERROR(IF(Análisis!$K$17="🟡 CRÍTICO",Análisis!B17,""),"—")</f>
        <v/>
      </c>
      <c r="C255" s="67" t="str">
        <f aca="false">IFERROR(IF(Análisis!$K$17="🟡 CRÍTICO",Análisis!C17,""),"—")</f>
        <v/>
      </c>
      <c r="D255" s="67" t="str">
        <f aca="false">IFERROR(IF(Análisis!$K$17="🟡 CRÍTICO",Análisis!D17,""),"—")</f>
        <v/>
      </c>
      <c r="E255" s="69" t="str">
        <f aca="false">IFERROR(IF(Análisis!$K$17="🟡 CRÍTICO",Análisis!E17,""),"—")</f>
        <v/>
      </c>
      <c r="F255" s="70" t="str">
        <f aca="false">IFERROR(IF(Análisis!$K$17="🟡 CRÍTICO",Análisis!F17,""),"—")</f>
        <v/>
      </c>
      <c r="G255" s="67" t="str">
        <f aca="false">IFERROR(IF(Análisis!$K$17="🟡 CRÍTICO",Análisis!I17,""),"—")</f>
        <v/>
      </c>
      <c r="H255" s="67" t="str">
        <f aca="false">IFERROR(IF(Análisis!$K$17="🟡 CRÍTICO",Análisis!M17,""),"—")</f>
        <v/>
      </c>
      <c r="I255" s="71" t="str">
        <f aca="false">IFERROR(IF(Análisis!$K$17="🟡 CRÍTICO",Análisis!H17,""),"—")</f>
        <v/>
      </c>
      <c r="J255" s="67" t="str">
        <f aca="false">IFERROR(IF(Análisis!$K$17="🟡 CRÍTICO",Análisis!O17,""),"—")</f>
        <v/>
      </c>
    </row>
    <row r="256" customFormat="false" ht="15.75" hidden="false" customHeight="true" outlineLevel="0" collapsed="false">
      <c r="A256" s="67" t="str">
        <f aca="false">IFERROR(IF(Análisis!$K$18="🟡 CRÍTICO",Análisis!A18,""),"—")</f>
        <v/>
      </c>
      <c r="B256" s="68" t="str">
        <f aca="false">IFERROR(IF(Análisis!$K$18="🟡 CRÍTICO",Análisis!B18,""),"—")</f>
        <v/>
      </c>
      <c r="C256" s="67" t="str">
        <f aca="false">IFERROR(IF(Análisis!$K$18="🟡 CRÍTICO",Análisis!C18,""),"—")</f>
        <v/>
      </c>
      <c r="D256" s="67" t="str">
        <f aca="false">IFERROR(IF(Análisis!$K$18="🟡 CRÍTICO",Análisis!D18,""),"—")</f>
        <v/>
      </c>
      <c r="E256" s="69" t="str">
        <f aca="false">IFERROR(IF(Análisis!$K$18="🟡 CRÍTICO",Análisis!E18,""),"—")</f>
        <v/>
      </c>
      <c r="F256" s="70" t="str">
        <f aca="false">IFERROR(IF(Análisis!$K$18="🟡 CRÍTICO",Análisis!F18,""),"—")</f>
        <v/>
      </c>
      <c r="G256" s="67" t="str">
        <f aca="false">IFERROR(IF(Análisis!$K$18="🟡 CRÍTICO",Análisis!I18,""),"—")</f>
        <v/>
      </c>
      <c r="H256" s="67" t="str">
        <f aca="false">IFERROR(IF(Análisis!$K$18="🟡 CRÍTICO",Análisis!M18,""),"—")</f>
        <v/>
      </c>
      <c r="I256" s="71" t="str">
        <f aca="false">IFERROR(IF(Análisis!$K$18="🟡 CRÍTICO",Análisis!H18,""),"—")</f>
        <v/>
      </c>
      <c r="J256" s="67" t="str">
        <f aca="false">IFERROR(IF(Análisis!$K$18="🟡 CRÍTICO",Análisis!O18,""),"—")</f>
        <v/>
      </c>
    </row>
    <row r="257" customFormat="false" ht="15.75" hidden="false" customHeight="true" outlineLevel="0" collapsed="false">
      <c r="A257" s="67" t="str">
        <f aca="false">IFERROR(IF(Análisis!$K$19="🟡 CRÍTICO",Análisis!A19,""),"—")</f>
        <v/>
      </c>
      <c r="B257" s="68" t="str">
        <f aca="false">IFERROR(IF(Análisis!$K$19="🟡 CRÍTICO",Análisis!B19,""),"—")</f>
        <v/>
      </c>
      <c r="C257" s="67" t="str">
        <f aca="false">IFERROR(IF(Análisis!$K$19="🟡 CRÍTICO",Análisis!C19,""),"—")</f>
        <v/>
      </c>
      <c r="D257" s="67" t="str">
        <f aca="false">IFERROR(IF(Análisis!$K$19="🟡 CRÍTICO",Análisis!D19,""),"—")</f>
        <v/>
      </c>
      <c r="E257" s="69" t="str">
        <f aca="false">IFERROR(IF(Análisis!$K$19="🟡 CRÍTICO",Análisis!E19,""),"—")</f>
        <v/>
      </c>
      <c r="F257" s="70" t="str">
        <f aca="false">IFERROR(IF(Análisis!$K$19="🟡 CRÍTICO",Análisis!F19,""),"—")</f>
        <v/>
      </c>
      <c r="G257" s="67" t="str">
        <f aca="false">IFERROR(IF(Análisis!$K$19="🟡 CRÍTICO",Análisis!I19,""),"—")</f>
        <v/>
      </c>
      <c r="H257" s="67" t="str">
        <f aca="false">IFERROR(IF(Análisis!$K$19="🟡 CRÍTICO",Análisis!M19,""),"—")</f>
        <v/>
      </c>
      <c r="I257" s="71" t="str">
        <f aca="false">IFERROR(IF(Análisis!$K$19="🟡 CRÍTICO",Análisis!H19,""),"—")</f>
        <v/>
      </c>
      <c r="J257" s="67" t="str">
        <f aca="false">IFERROR(IF(Análisis!$K$19="🟡 CRÍTICO",Análisis!O19,""),"—")</f>
        <v/>
      </c>
    </row>
    <row r="258" customFormat="false" ht="15.75" hidden="false" customHeight="true" outlineLevel="0" collapsed="false">
      <c r="A258" s="67" t="str">
        <f aca="false">IFERROR(IF(Análisis!$K$20="🟡 CRÍTICO",Análisis!A20,""),"—")</f>
        <v/>
      </c>
      <c r="B258" s="68" t="str">
        <f aca="false">IFERROR(IF(Análisis!$K$20="🟡 CRÍTICO",Análisis!B20,""),"—")</f>
        <v/>
      </c>
      <c r="C258" s="67" t="str">
        <f aca="false">IFERROR(IF(Análisis!$K$20="🟡 CRÍTICO",Análisis!C20,""),"—")</f>
        <v/>
      </c>
      <c r="D258" s="67" t="str">
        <f aca="false">IFERROR(IF(Análisis!$K$20="🟡 CRÍTICO",Análisis!D20,""),"—")</f>
        <v/>
      </c>
      <c r="E258" s="69" t="str">
        <f aca="false">IFERROR(IF(Análisis!$K$20="🟡 CRÍTICO",Análisis!E20,""),"—")</f>
        <v/>
      </c>
      <c r="F258" s="70" t="str">
        <f aca="false">IFERROR(IF(Análisis!$K$20="🟡 CRÍTICO",Análisis!F20,""),"—")</f>
        <v/>
      </c>
      <c r="G258" s="67" t="str">
        <f aca="false">IFERROR(IF(Análisis!$K$20="🟡 CRÍTICO",Análisis!I20,""),"—")</f>
        <v/>
      </c>
      <c r="H258" s="67" t="str">
        <f aca="false">IFERROR(IF(Análisis!$K$20="🟡 CRÍTICO",Análisis!M20,""),"—")</f>
        <v/>
      </c>
      <c r="I258" s="71" t="str">
        <f aca="false">IFERROR(IF(Análisis!$K$20="🟡 CRÍTICO",Análisis!H20,""),"—")</f>
        <v/>
      </c>
      <c r="J258" s="67" t="str">
        <f aca="false">IFERROR(IF(Análisis!$K$20="🟡 CRÍTICO",Análisis!O20,""),"—")</f>
        <v/>
      </c>
    </row>
    <row r="259" customFormat="false" ht="15.75" hidden="false" customHeight="true" outlineLevel="0" collapsed="false">
      <c r="A259" s="67" t="str">
        <f aca="false">IFERROR(IF(Análisis!$K$21="🟡 CRÍTICO",Análisis!A21,""),"—")</f>
        <v/>
      </c>
      <c r="B259" s="68" t="str">
        <f aca="false">IFERROR(IF(Análisis!$K$21="🟡 CRÍTICO",Análisis!B21,""),"—")</f>
        <v/>
      </c>
      <c r="C259" s="67" t="str">
        <f aca="false">IFERROR(IF(Análisis!$K$21="🟡 CRÍTICO",Análisis!C21,""),"—")</f>
        <v/>
      </c>
      <c r="D259" s="67" t="str">
        <f aca="false">IFERROR(IF(Análisis!$K$21="🟡 CRÍTICO",Análisis!D21,""),"—")</f>
        <v/>
      </c>
      <c r="E259" s="69" t="str">
        <f aca="false">IFERROR(IF(Análisis!$K$21="🟡 CRÍTICO",Análisis!E21,""),"—")</f>
        <v/>
      </c>
      <c r="F259" s="70" t="str">
        <f aca="false">IFERROR(IF(Análisis!$K$21="🟡 CRÍTICO",Análisis!F21,""),"—")</f>
        <v/>
      </c>
      <c r="G259" s="67" t="str">
        <f aca="false">IFERROR(IF(Análisis!$K$21="🟡 CRÍTICO",Análisis!I21,""),"—")</f>
        <v/>
      </c>
      <c r="H259" s="67" t="str">
        <f aca="false">IFERROR(IF(Análisis!$K$21="🟡 CRÍTICO",Análisis!M21,""),"—")</f>
        <v/>
      </c>
      <c r="I259" s="71" t="str">
        <f aca="false">IFERROR(IF(Análisis!$K$21="🟡 CRÍTICO",Análisis!H21,""),"—")</f>
        <v/>
      </c>
      <c r="J259" s="67" t="str">
        <f aca="false">IFERROR(IF(Análisis!$K$21="🟡 CRÍTICO",Análisis!O21,""),"—")</f>
        <v/>
      </c>
    </row>
    <row r="260" customFormat="false" ht="15.75" hidden="false" customHeight="true" outlineLevel="0" collapsed="false">
      <c r="A260" s="67" t="str">
        <f aca="false">IFERROR(IF(Análisis!$K$22="🟡 CRÍTICO",Análisis!A22,""),"—")</f>
        <v/>
      </c>
      <c r="B260" s="68" t="str">
        <f aca="false">IFERROR(IF(Análisis!$K$22="🟡 CRÍTICO",Análisis!B22,""),"—")</f>
        <v/>
      </c>
      <c r="C260" s="67" t="str">
        <f aca="false">IFERROR(IF(Análisis!$K$22="🟡 CRÍTICO",Análisis!C22,""),"—")</f>
        <v/>
      </c>
      <c r="D260" s="67" t="str">
        <f aca="false">IFERROR(IF(Análisis!$K$22="🟡 CRÍTICO",Análisis!D22,""),"—")</f>
        <v/>
      </c>
      <c r="E260" s="69" t="str">
        <f aca="false">IFERROR(IF(Análisis!$K$22="🟡 CRÍTICO",Análisis!E22,""),"—")</f>
        <v/>
      </c>
      <c r="F260" s="70" t="str">
        <f aca="false">IFERROR(IF(Análisis!$K$22="🟡 CRÍTICO",Análisis!F22,""),"—")</f>
        <v/>
      </c>
      <c r="G260" s="67" t="str">
        <f aca="false">IFERROR(IF(Análisis!$K$22="🟡 CRÍTICO",Análisis!I22,""),"—")</f>
        <v/>
      </c>
      <c r="H260" s="67" t="str">
        <f aca="false">IFERROR(IF(Análisis!$K$22="🟡 CRÍTICO",Análisis!M22,""),"—")</f>
        <v/>
      </c>
      <c r="I260" s="71" t="str">
        <f aca="false">IFERROR(IF(Análisis!$K$22="🟡 CRÍTICO",Análisis!H22,""),"—")</f>
        <v/>
      </c>
      <c r="J260" s="67" t="str">
        <f aca="false">IFERROR(IF(Análisis!$K$22="🟡 CRÍTICO",Análisis!O22,""),"—")</f>
        <v/>
      </c>
    </row>
    <row r="261" customFormat="false" ht="15.75" hidden="false" customHeight="true" outlineLevel="0" collapsed="false">
      <c r="A261" s="67" t="str">
        <f aca="false">IFERROR(IF(Análisis!$K$23="🟡 CRÍTICO",Análisis!A23,""),"—")</f>
        <v/>
      </c>
      <c r="B261" s="68" t="str">
        <f aca="false">IFERROR(IF(Análisis!$K$23="🟡 CRÍTICO",Análisis!B23,""),"—")</f>
        <v/>
      </c>
      <c r="C261" s="67" t="str">
        <f aca="false">IFERROR(IF(Análisis!$K$23="🟡 CRÍTICO",Análisis!C23,""),"—")</f>
        <v/>
      </c>
      <c r="D261" s="67" t="str">
        <f aca="false">IFERROR(IF(Análisis!$K$23="🟡 CRÍTICO",Análisis!D23,""),"—")</f>
        <v/>
      </c>
      <c r="E261" s="69" t="str">
        <f aca="false">IFERROR(IF(Análisis!$K$23="🟡 CRÍTICO",Análisis!E23,""),"—")</f>
        <v/>
      </c>
      <c r="F261" s="70" t="str">
        <f aca="false">IFERROR(IF(Análisis!$K$23="🟡 CRÍTICO",Análisis!F23,""),"—")</f>
        <v/>
      </c>
      <c r="G261" s="67" t="str">
        <f aca="false">IFERROR(IF(Análisis!$K$23="🟡 CRÍTICO",Análisis!I23,""),"—")</f>
        <v/>
      </c>
      <c r="H261" s="67" t="str">
        <f aca="false">IFERROR(IF(Análisis!$K$23="🟡 CRÍTICO",Análisis!M23,""),"—")</f>
        <v/>
      </c>
      <c r="I261" s="71" t="str">
        <f aca="false">IFERROR(IF(Análisis!$K$23="🟡 CRÍTICO",Análisis!H23,""),"—")</f>
        <v/>
      </c>
      <c r="J261" s="67" t="str">
        <f aca="false">IFERROR(IF(Análisis!$K$23="🟡 CRÍTICO",Análisis!O23,""),"—")</f>
        <v/>
      </c>
    </row>
    <row r="262" customFormat="false" ht="15.75" hidden="false" customHeight="true" outlineLevel="0" collapsed="false">
      <c r="A262" s="67" t="str">
        <f aca="false">IFERROR(IF(Análisis!$K$24="🟡 CRÍTICO",Análisis!A24,""),"—")</f>
        <v/>
      </c>
      <c r="B262" s="68" t="str">
        <f aca="false">IFERROR(IF(Análisis!$K$24="🟡 CRÍTICO",Análisis!B24,""),"—")</f>
        <v/>
      </c>
      <c r="C262" s="67" t="str">
        <f aca="false">IFERROR(IF(Análisis!$K$24="🟡 CRÍTICO",Análisis!C24,""),"—")</f>
        <v/>
      </c>
      <c r="D262" s="67" t="str">
        <f aca="false">IFERROR(IF(Análisis!$K$24="🟡 CRÍTICO",Análisis!D24,""),"—")</f>
        <v/>
      </c>
      <c r="E262" s="69" t="str">
        <f aca="false">IFERROR(IF(Análisis!$K$24="🟡 CRÍTICO",Análisis!E24,""),"—")</f>
        <v/>
      </c>
      <c r="F262" s="70" t="str">
        <f aca="false">IFERROR(IF(Análisis!$K$24="🟡 CRÍTICO",Análisis!F24,""),"—")</f>
        <v/>
      </c>
      <c r="G262" s="67" t="str">
        <f aca="false">IFERROR(IF(Análisis!$K$24="🟡 CRÍTICO",Análisis!I24,""),"—")</f>
        <v/>
      </c>
      <c r="H262" s="67" t="str">
        <f aca="false">IFERROR(IF(Análisis!$K$24="🟡 CRÍTICO",Análisis!M24,""),"—")</f>
        <v/>
      </c>
      <c r="I262" s="71" t="str">
        <f aca="false">IFERROR(IF(Análisis!$K$24="🟡 CRÍTICO",Análisis!H24,""),"—")</f>
        <v/>
      </c>
      <c r="J262" s="67" t="str">
        <f aca="false">IFERROR(IF(Análisis!$K$24="🟡 CRÍTICO",Análisis!O24,""),"—")</f>
        <v/>
      </c>
    </row>
    <row r="263" customFormat="false" ht="15.75" hidden="false" customHeight="true" outlineLevel="0" collapsed="false">
      <c r="A263" s="67" t="str">
        <f aca="false">IFERROR(IF(Análisis!$K$25="🟡 CRÍTICO",Análisis!A25,""),"—")</f>
        <v/>
      </c>
      <c r="B263" s="68" t="str">
        <f aca="false">IFERROR(IF(Análisis!$K$25="🟡 CRÍTICO",Análisis!B25,""),"—")</f>
        <v/>
      </c>
      <c r="C263" s="67" t="str">
        <f aca="false">IFERROR(IF(Análisis!$K$25="🟡 CRÍTICO",Análisis!C25,""),"—")</f>
        <v/>
      </c>
      <c r="D263" s="67" t="str">
        <f aca="false">IFERROR(IF(Análisis!$K$25="🟡 CRÍTICO",Análisis!D25,""),"—")</f>
        <v/>
      </c>
      <c r="E263" s="69" t="str">
        <f aca="false">IFERROR(IF(Análisis!$K$25="🟡 CRÍTICO",Análisis!E25,""),"—")</f>
        <v/>
      </c>
      <c r="F263" s="70" t="str">
        <f aca="false">IFERROR(IF(Análisis!$K$25="🟡 CRÍTICO",Análisis!F25,""),"—")</f>
        <v/>
      </c>
      <c r="G263" s="67" t="str">
        <f aca="false">IFERROR(IF(Análisis!$K$25="🟡 CRÍTICO",Análisis!I25,""),"—")</f>
        <v/>
      </c>
      <c r="H263" s="67" t="str">
        <f aca="false">IFERROR(IF(Análisis!$K$25="🟡 CRÍTICO",Análisis!M25,""),"—")</f>
        <v/>
      </c>
      <c r="I263" s="71" t="str">
        <f aca="false">IFERROR(IF(Análisis!$K$25="🟡 CRÍTICO",Análisis!H25,""),"—")</f>
        <v/>
      </c>
      <c r="J263" s="67" t="str">
        <f aca="false">IFERROR(IF(Análisis!$K$25="🟡 CRÍTICO",Análisis!O25,""),"—")</f>
        <v/>
      </c>
    </row>
    <row r="264" customFormat="false" ht="15.75" hidden="false" customHeight="true" outlineLevel="0" collapsed="false">
      <c r="A264" s="67" t="str">
        <f aca="false">IFERROR(IF(Análisis!$K$26="🟡 CRÍTICO",Análisis!A26,""),"—")</f>
        <v/>
      </c>
      <c r="B264" s="68" t="str">
        <f aca="false">IFERROR(IF(Análisis!$K$26="🟡 CRÍTICO",Análisis!B26,""),"—")</f>
        <v/>
      </c>
      <c r="C264" s="67" t="str">
        <f aca="false">IFERROR(IF(Análisis!$K$26="🟡 CRÍTICO",Análisis!C26,""),"—")</f>
        <v/>
      </c>
      <c r="D264" s="67" t="str">
        <f aca="false">IFERROR(IF(Análisis!$K$26="🟡 CRÍTICO",Análisis!D26,""),"—")</f>
        <v/>
      </c>
      <c r="E264" s="69" t="str">
        <f aca="false">IFERROR(IF(Análisis!$K$26="🟡 CRÍTICO",Análisis!E26,""),"—")</f>
        <v/>
      </c>
      <c r="F264" s="70" t="str">
        <f aca="false">IFERROR(IF(Análisis!$K$26="🟡 CRÍTICO",Análisis!F26,""),"—")</f>
        <v/>
      </c>
      <c r="G264" s="67" t="str">
        <f aca="false">IFERROR(IF(Análisis!$K$26="🟡 CRÍTICO",Análisis!I26,""),"—")</f>
        <v/>
      </c>
      <c r="H264" s="67" t="str">
        <f aca="false">IFERROR(IF(Análisis!$K$26="🟡 CRÍTICO",Análisis!M26,""),"—")</f>
        <v/>
      </c>
      <c r="I264" s="71" t="str">
        <f aca="false">IFERROR(IF(Análisis!$K$26="🟡 CRÍTICO",Análisis!H26,""),"—")</f>
        <v/>
      </c>
      <c r="J264" s="67" t="str">
        <f aca="false">IFERROR(IF(Análisis!$K$26="🟡 CRÍTICO",Análisis!O26,""),"—")</f>
        <v/>
      </c>
    </row>
    <row r="265" customFormat="false" ht="15.75" hidden="false" customHeight="true" outlineLevel="0" collapsed="false">
      <c r="A265" s="67" t="str">
        <f aca="false">IFERROR(IF(Análisis!$K$27="🟡 CRÍTICO",Análisis!A27,""),"—")</f>
        <v/>
      </c>
      <c r="B265" s="68" t="str">
        <f aca="false">IFERROR(IF(Análisis!$K$27="🟡 CRÍTICO",Análisis!B27,""),"—")</f>
        <v/>
      </c>
      <c r="C265" s="67" t="str">
        <f aca="false">IFERROR(IF(Análisis!$K$27="🟡 CRÍTICO",Análisis!C27,""),"—")</f>
        <v/>
      </c>
      <c r="D265" s="67" t="str">
        <f aca="false">IFERROR(IF(Análisis!$K$27="🟡 CRÍTICO",Análisis!D27,""),"—")</f>
        <v/>
      </c>
      <c r="E265" s="69" t="str">
        <f aca="false">IFERROR(IF(Análisis!$K$27="🟡 CRÍTICO",Análisis!E27,""),"—")</f>
        <v/>
      </c>
      <c r="F265" s="70" t="str">
        <f aca="false">IFERROR(IF(Análisis!$K$27="🟡 CRÍTICO",Análisis!F27,""),"—")</f>
        <v/>
      </c>
      <c r="G265" s="67" t="str">
        <f aca="false">IFERROR(IF(Análisis!$K$27="🟡 CRÍTICO",Análisis!I27,""),"—")</f>
        <v/>
      </c>
      <c r="H265" s="67" t="str">
        <f aca="false">IFERROR(IF(Análisis!$K$27="🟡 CRÍTICO",Análisis!M27,""),"—")</f>
        <v/>
      </c>
      <c r="I265" s="71" t="str">
        <f aca="false">IFERROR(IF(Análisis!$K$27="🟡 CRÍTICO",Análisis!H27,""),"—")</f>
        <v/>
      </c>
      <c r="J265" s="67" t="str">
        <f aca="false">IFERROR(IF(Análisis!$K$27="🟡 CRÍTICO",Análisis!O27,""),"—")</f>
        <v/>
      </c>
    </row>
    <row r="266" customFormat="false" ht="15.75" hidden="false" customHeight="true" outlineLevel="0" collapsed="false">
      <c r="A266" s="67" t="str">
        <f aca="false">IFERROR(IF(Análisis!$K$28="🟡 CRÍTICO",Análisis!A28,""),"—")</f>
        <v/>
      </c>
      <c r="B266" s="68" t="str">
        <f aca="false">IFERROR(IF(Análisis!$K$28="🟡 CRÍTICO",Análisis!B28,""),"—")</f>
        <v/>
      </c>
      <c r="C266" s="67" t="str">
        <f aca="false">IFERROR(IF(Análisis!$K$28="🟡 CRÍTICO",Análisis!C28,""),"—")</f>
        <v/>
      </c>
      <c r="D266" s="67" t="str">
        <f aca="false">IFERROR(IF(Análisis!$K$28="🟡 CRÍTICO",Análisis!D28,""),"—")</f>
        <v/>
      </c>
      <c r="E266" s="69" t="str">
        <f aca="false">IFERROR(IF(Análisis!$K$28="🟡 CRÍTICO",Análisis!E28,""),"—")</f>
        <v/>
      </c>
      <c r="F266" s="70" t="str">
        <f aca="false">IFERROR(IF(Análisis!$K$28="🟡 CRÍTICO",Análisis!F28,""),"—")</f>
        <v/>
      </c>
      <c r="G266" s="67" t="str">
        <f aca="false">IFERROR(IF(Análisis!$K$28="🟡 CRÍTICO",Análisis!I28,""),"—")</f>
        <v/>
      </c>
      <c r="H266" s="67" t="str">
        <f aca="false">IFERROR(IF(Análisis!$K$28="🟡 CRÍTICO",Análisis!M28,""),"—")</f>
        <v/>
      </c>
      <c r="I266" s="71" t="str">
        <f aca="false">IFERROR(IF(Análisis!$K$28="🟡 CRÍTICO",Análisis!H28,""),"—")</f>
        <v/>
      </c>
      <c r="J266" s="67" t="str">
        <f aca="false">IFERROR(IF(Análisis!$K$28="🟡 CRÍTICO",Análisis!O28,""),"—")</f>
        <v/>
      </c>
    </row>
    <row r="267" customFormat="false" ht="15.75" hidden="false" customHeight="true" outlineLevel="0" collapsed="false">
      <c r="A267" s="67" t="str">
        <f aca="false">IFERROR(IF(Análisis!$K$29="🟡 CRÍTICO",Análisis!A29,""),"—")</f>
        <v/>
      </c>
      <c r="B267" s="68" t="str">
        <f aca="false">IFERROR(IF(Análisis!$K$29="🟡 CRÍTICO",Análisis!B29,""),"—")</f>
        <v/>
      </c>
      <c r="C267" s="67" t="str">
        <f aca="false">IFERROR(IF(Análisis!$K$29="🟡 CRÍTICO",Análisis!C29,""),"—")</f>
        <v/>
      </c>
      <c r="D267" s="67" t="str">
        <f aca="false">IFERROR(IF(Análisis!$K$29="🟡 CRÍTICO",Análisis!D29,""),"—")</f>
        <v/>
      </c>
      <c r="E267" s="69" t="str">
        <f aca="false">IFERROR(IF(Análisis!$K$29="🟡 CRÍTICO",Análisis!E29,""),"—")</f>
        <v/>
      </c>
      <c r="F267" s="70" t="str">
        <f aca="false">IFERROR(IF(Análisis!$K$29="🟡 CRÍTICO",Análisis!F29,""),"—")</f>
        <v/>
      </c>
      <c r="G267" s="67" t="str">
        <f aca="false">IFERROR(IF(Análisis!$K$29="🟡 CRÍTICO",Análisis!I29,""),"—")</f>
        <v/>
      </c>
      <c r="H267" s="67" t="str">
        <f aca="false">IFERROR(IF(Análisis!$K$29="🟡 CRÍTICO",Análisis!M29,""),"—")</f>
        <v/>
      </c>
      <c r="I267" s="71" t="str">
        <f aca="false">IFERROR(IF(Análisis!$K$29="🟡 CRÍTICO",Análisis!H29,""),"—")</f>
        <v/>
      </c>
      <c r="J267" s="67" t="str">
        <f aca="false">IFERROR(IF(Análisis!$K$29="🟡 CRÍTICO",Análisis!O29,""),"—")</f>
        <v/>
      </c>
    </row>
    <row r="268" customFormat="false" ht="15.75" hidden="false" customHeight="true" outlineLevel="0" collapsed="false">
      <c r="A268" s="67" t="str">
        <f aca="false">IFERROR(IF(Análisis!$K$30="🟡 CRÍTICO",Análisis!A30,""),"—")</f>
        <v/>
      </c>
      <c r="B268" s="68" t="str">
        <f aca="false">IFERROR(IF(Análisis!$K$30="🟡 CRÍTICO",Análisis!B30,""),"—")</f>
        <v/>
      </c>
      <c r="C268" s="67" t="str">
        <f aca="false">IFERROR(IF(Análisis!$K$30="🟡 CRÍTICO",Análisis!C30,""),"—")</f>
        <v/>
      </c>
      <c r="D268" s="67" t="str">
        <f aca="false">IFERROR(IF(Análisis!$K$30="🟡 CRÍTICO",Análisis!D30,""),"—")</f>
        <v/>
      </c>
      <c r="E268" s="69" t="str">
        <f aca="false">IFERROR(IF(Análisis!$K$30="🟡 CRÍTICO",Análisis!E30,""),"—")</f>
        <v/>
      </c>
      <c r="F268" s="70" t="str">
        <f aca="false">IFERROR(IF(Análisis!$K$30="🟡 CRÍTICO",Análisis!F30,""),"—")</f>
        <v/>
      </c>
      <c r="G268" s="67" t="str">
        <f aca="false">IFERROR(IF(Análisis!$K$30="🟡 CRÍTICO",Análisis!I30,""),"—")</f>
        <v/>
      </c>
      <c r="H268" s="67" t="str">
        <f aca="false">IFERROR(IF(Análisis!$K$30="🟡 CRÍTICO",Análisis!M30,""),"—")</f>
        <v/>
      </c>
      <c r="I268" s="71" t="str">
        <f aca="false">IFERROR(IF(Análisis!$K$30="🟡 CRÍTICO",Análisis!H30,""),"—")</f>
        <v/>
      </c>
      <c r="J268" s="67" t="str">
        <f aca="false">IFERROR(IF(Análisis!$K$30="🟡 CRÍTICO",Análisis!O30,""),"—")</f>
        <v/>
      </c>
    </row>
    <row r="269" customFormat="false" ht="15.75" hidden="false" customHeight="true" outlineLevel="0" collapsed="false">
      <c r="A269" s="67" t="str">
        <f aca="false">IFERROR(IF(Análisis!$K$31="🟡 CRÍTICO",Análisis!A31,""),"—")</f>
        <v/>
      </c>
      <c r="B269" s="68" t="str">
        <f aca="false">IFERROR(IF(Análisis!$K$31="🟡 CRÍTICO",Análisis!B31,""),"—")</f>
        <v/>
      </c>
      <c r="C269" s="67" t="str">
        <f aca="false">IFERROR(IF(Análisis!$K$31="🟡 CRÍTICO",Análisis!C31,""),"—")</f>
        <v/>
      </c>
      <c r="D269" s="67" t="str">
        <f aca="false">IFERROR(IF(Análisis!$K$31="🟡 CRÍTICO",Análisis!D31,""),"—")</f>
        <v/>
      </c>
      <c r="E269" s="69" t="str">
        <f aca="false">IFERROR(IF(Análisis!$K$31="🟡 CRÍTICO",Análisis!E31,""),"—")</f>
        <v/>
      </c>
      <c r="F269" s="70" t="str">
        <f aca="false">IFERROR(IF(Análisis!$K$31="🟡 CRÍTICO",Análisis!F31,""),"—")</f>
        <v/>
      </c>
      <c r="G269" s="67" t="str">
        <f aca="false">IFERROR(IF(Análisis!$K$31="🟡 CRÍTICO",Análisis!I31,""),"—")</f>
        <v/>
      </c>
      <c r="H269" s="67" t="str">
        <f aca="false">IFERROR(IF(Análisis!$K$31="🟡 CRÍTICO",Análisis!M31,""),"—")</f>
        <v/>
      </c>
      <c r="I269" s="71" t="str">
        <f aca="false">IFERROR(IF(Análisis!$K$31="🟡 CRÍTICO",Análisis!H31,""),"—")</f>
        <v/>
      </c>
      <c r="J269" s="67" t="str">
        <f aca="false">IFERROR(IF(Análisis!$K$31="🟡 CRÍTICO",Análisis!O31,""),"—")</f>
        <v/>
      </c>
    </row>
    <row r="270" customFormat="false" ht="15.75" hidden="false" customHeight="true" outlineLevel="0" collapsed="false">
      <c r="A270" s="67" t="str">
        <f aca="false">IFERROR(IF(Análisis!$K$32="🟡 CRÍTICO",Análisis!A32,""),"—")</f>
        <v/>
      </c>
      <c r="B270" s="68" t="str">
        <f aca="false">IFERROR(IF(Análisis!$K$32="🟡 CRÍTICO",Análisis!B32,""),"—")</f>
        <v/>
      </c>
      <c r="C270" s="67" t="str">
        <f aca="false">IFERROR(IF(Análisis!$K$32="🟡 CRÍTICO",Análisis!C32,""),"—")</f>
        <v/>
      </c>
      <c r="D270" s="67" t="str">
        <f aca="false">IFERROR(IF(Análisis!$K$32="🟡 CRÍTICO",Análisis!D32,""),"—")</f>
        <v/>
      </c>
      <c r="E270" s="69" t="str">
        <f aca="false">IFERROR(IF(Análisis!$K$32="🟡 CRÍTICO",Análisis!E32,""),"—")</f>
        <v/>
      </c>
      <c r="F270" s="70" t="str">
        <f aca="false">IFERROR(IF(Análisis!$K$32="🟡 CRÍTICO",Análisis!F32,""),"—")</f>
        <v/>
      </c>
      <c r="G270" s="67" t="str">
        <f aca="false">IFERROR(IF(Análisis!$K$32="🟡 CRÍTICO",Análisis!I32,""),"—")</f>
        <v/>
      </c>
      <c r="H270" s="67" t="str">
        <f aca="false">IFERROR(IF(Análisis!$K$32="🟡 CRÍTICO",Análisis!M32,""),"—")</f>
        <v/>
      </c>
      <c r="I270" s="71" t="str">
        <f aca="false">IFERROR(IF(Análisis!$K$32="🟡 CRÍTICO",Análisis!H32,""),"—")</f>
        <v/>
      </c>
      <c r="J270" s="67" t="str">
        <f aca="false">IFERROR(IF(Análisis!$K$32="🟡 CRÍTICO",Análisis!O32,""),"—")</f>
        <v/>
      </c>
    </row>
    <row r="271" customFormat="false" ht="15.75" hidden="false" customHeight="true" outlineLevel="0" collapsed="false">
      <c r="A271" s="67" t="str">
        <f aca="false">IFERROR(IF(Análisis!$K$33="🟡 CRÍTICO",Análisis!A33,""),"—")</f>
        <v/>
      </c>
      <c r="B271" s="68" t="str">
        <f aca="false">IFERROR(IF(Análisis!$K$33="🟡 CRÍTICO",Análisis!B33,""),"—")</f>
        <v/>
      </c>
      <c r="C271" s="67" t="str">
        <f aca="false">IFERROR(IF(Análisis!$K$33="🟡 CRÍTICO",Análisis!C33,""),"—")</f>
        <v/>
      </c>
      <c r="D271" s="67" t="str">
        <f aca="false">IFERROR(IF(Análisis!$K$33="🟡 CRÍTICO",Análisis!D33,""),"—")</f>
        <v/>
      </c>
      <c r="E271" s="69" t="str">
        <f aca="false">IFERROR(IF(Análisis!$K$33="🟡 CRÍTICO",Análisis!E33,""),"—")</f>
        <v/>
      </c>
      <c r="F271" s="70" t="str">
        <f aca="false">IFERROR(IF(Análisis!$K$33="🟡 CRÍTICO",Análisis!F33,""),"—")</f>
        <v/>
      </c>
      <c r="G271" s="67" t="str">
        <f aca="false">IFERROR(IF(Análisis!$K$33="🟡 CRÍTICO",Análisis!I33,""),"—")</f>
        <v/>
      </c>
      <c r="H271" s="67" t="str">
        <f aca="false">IFERROR(IF(Análisis!$K$33="🟡 CRÍTICO",Análisis!M33,""),"—")</f>
        <v/>
      </c>
      <c r="I271" s="71" t="str">
        <f aca="false">IFERROR(IF(Análisis!$K$33="🟡 CRÍTICO",Análisis!H33,""),"—")</f>
        <v/>
      </c>
      <c r="J271" s="67" t="str">
        <f aca="false">IFERROR(IF(Análisis!$K$33="🟡 CRÍTICO",Análisis!O33,""),"—")</f>
        <v/>
      </c>
    </row>
    <row r="272" customFormat="false" ht="15.75" hidden="false" customHeight="true" outlineLevel="0" collapsed="false">
      <c r="A272" s="67" t="str">
        <f aca="false">IFERROR(IF(Análisis!$K$34="🟡 CRÍTICO",Análisis!A34,""),"—")</f>
        <v/>
      </c>
      <c r="B272" s="68" t="str">
        <f aca="false">IFERROR(IF(Análisis!$K$34="🟡 CRÍTICO",Análisis!B34,""),"—")</f>
        <v/>
      </c>
      <c r="C272" s="67" t="str">
        <f aca="false">IFERROR(IF(Análisis!$K$34="🟡 CRÍTICO",Análisis!C34,""),"—")</f>
        <v/>
      </c>
      <c r="D272" s="67" t="str">
        <f aca="false">IFERROR(IF(Análisis!$K$34="🟡 CRÍTICO",Análisis!D34,""),"—")</f>
        <v/>
      </c>
      <c r="E272" s="69" t="str">
        <f aca="false">IFERROR(IF(Análisis!$K$34="🟡 CRÍTICO",Análisis!E34,""),"—")</f>
        <v/>
      </c>
      <c r="F272" s="70" t="str">
        <f aca="false">IFERROR(IF(Análisis!$K$34="🟡 CRÍTICO",Análisis!F34,""),"—")</f>
        <v/>
      </c>
      <c r="G272" s="67" t="str">
        <f aca="false">IFERROR(IF(Análisis!$K$34="🟡 CRÍTICO",Análisis!I34,""),"—")</f>
        <v/>
      </c>
      <c r="H272" s="67" t="str">
        <f aca="false">IFERROR(IF(Análisis!$K$34="🟡 CRÍTICO",Análisis!M34,""),"—")</f>
        <v/>
      </c>
      <c r="I272" s="71" t="str">
        <f aca="false">IFERROR(IF(Análisis!$K$34="🟡 CRÍTICO",Análisis!H34,""),"—")</f>
        <v/>
      </c>
      <c r="J272" s="67" t="str">
        <f aca="false">IFERROR(IF(Análisis!$K$34="🟡 CRÍTICO",Análisis!O34,""),"—")</f>
        <v/>
      </c>
    </row>
    <row r="273" customFormat="false" ht="15.75" hidden="false" customHeight="true" outlineLevel="0" collapsed="false">
      <c r="A273" s="67" t="str">
        <f aca="false">IFERROR(IF(Análisis!$K$35="🟡 CRÍTICO",Análisis!A35,""),"—")</f>
        <v/>
      </c>
      <c r="B273" s="68" t="str">
        <f aca="false">IFERROR(IF(Análisis!$K$35="🟡 CRÍTICO",Análisis!B35,""),"—")</f>
        <v/>
      </c>
      <c r="C273" s="67" t="str">
        <f aca="false">IFERROR(IF(Análisis!$K$35="🟡 CRÍTICO",Análisis!C35,""),"—")</f>
        <v/>
      </c>
      <c r="D273" s="67" t="str">
        <f aca="false">IFERROR(IF(Análisis!$K$35="🟡 CRÍTICO",Análisis!D35,""),"—")</f>
        <v/>
      </c>
      <c r="E273" s="69" t="str">
        <f aca="false">IFERROR(IF(Análisis!$K$35="🟡 CRÍTICO",Análisis!E35,""),"—")</f>
        <v/>
      </c>
      <c r="F273" s="70" t="str">
        <f aca="false">IFERROR(IF(Análisis!$K$35="🟡 CRÍTICO",Análisis!F35,""),"—")</f>
        <v/>
      </c>
      <c r="G273" s="67" t="str">
        <f aca="false">IFERROR(IF(Análisis!$K$35="🟡 CRÍTICO",Análisis!I35,""),"—")</f>
        <v/>
      </c>
      <c r="H273" s="67" t="str">
        <f aca="false">IFERROR(IF(Análisis!$K$35="🟡 CRÍTICO",Análisis!M35,""),"—")</f>
        <v/>
      </c>
      <c r="I273" s="71" t="str">
        <f aca="false">IFERROR(IF(Análisis!$K$35="🟡 CRÍTICO",Análisis!H35,""),"—")</f>
        <v/>
      </c>
      <c r="J273" s="67" t="str">
        <f aca="false">IFERROR(IF(Análisis!$K$35="🟡 CRÍTICO",Análisis!O35,""),"—")</f>
        <v/>
      </c>
    </row>
    <row r="274" customFormat="false" ht="15.75" hidden="false" customHeight="true" outlineLevel="0" collapsed="false">
      <c r="A274" s="67" t="str">
        <f aca="false">IFERROR(IF(Análisis!$K$36="🟡 CRÍTICO",Análisis!A36,""),"—")</f>
        <v/>
      </c>
      <c r="B274" s="68" t="str">
        <f aca="false">IFERROR(IF(Análisis!$K$36="🟡 CRÍTICO",Análisis!B36,""),"—")</f>
        <v/>
      </c>
      <c r="C274" s="67" t="str">
        <f aca="false">IFERROR(IF(Análisis!$K$36="🟡 CRÍTICO",Análisis!C36,""),"—")</f>
        <v/>
      </c>
      <c r="D274" s="67" t="str">
        <f aca="false">IFERROR(IF(Análisis!$K$36="🟡 CRÍTICO",Análisis!D36,""),"—")</f>
        <v/>
      </c>
      <c r="E274" s="69" t="str">
        <f aca="false">IFERROR(IF(Análisis!$K$36="🟡 CRÍTICO",Análisis!E36,""),"—")</f>
        <v/>
      </c>
      <c r="F274" s="70" t="str">
        <f aca="false">IFERROR(IF(Análisis!$K$36="🟡 CRÍTICO",Análisis!F36,""),"—")</f>
        <v/>
      </c>
      <c r="G274" s="67" t="str">
        <f aca="false">IFERROR(IF(Análisis!$K$36="🟡 CRÍTICO",Análisis!I36,""),"—")</f>
        <v/>
      </c>
      <c r="H274" s="67" t="str">
        <f aca="false">IFERROR(IF(Análisis!$K$36="🟡 CRÍTICO",Análisis!M36,""),"—")</f>
        <v/>
      </c>
      <c r="I274" s="71" t="str">
        <f aca="false">IFERROR(IF(Análisis!$K$36="🟡 CRÍTICO",Análisis!H36,""),"—")</f>
        <v/>
      </c>
      <c r="J274" s="67" t="str">
        <f aca="false">IFERROR(IF(Análisis!$K$36="🟡 CRÍTICO",Análisis!O36,""),"—")</f>
        <v/>
      </c>
    </row>
    <row r="275" customFormat="false" ht="15.75" hidden="false" customHeight="true" outlineLevel="0" collapsed="false">
      <c r="A275" s="67" t="str">
        <f aca="false">IFERROR(IF(Análisis!$K$37="🟡 CRÍTICO",Análisis!A37,""),"—")</f>
        <v/>
      </c>
      <c r="B275" s="68" t="str">
        <f aca="false">IFERROR(IF(Análisis!$K$37="🟡 CRÍTICO",Análisis!B37,""),"—")</f>
        <v/>
      </c>
      <c r="C275" s="67" t="str">
        <f aca="false">IFERROR(IF(Análisis!$K$37="🟡 CRÍTICO",Análisis!C37,""),"—")</f>
        <v/>
      </c>
      <c r="D275" s="67" t="str">
        <f aca="false">IFERROR(IF(Análisis!$K$37="🟡 CRÍTICO",Análisis!D37,""),"—")</f>
        <v/>
      </c>
      <c r="E275" s="69" t="str">
        <f aca="false">IFERROR(IF(Análisis!$K$37="🟡 CRÍTICO",Análisis!E37,""),"—")</f>
        <v/>
      </c>
      <c r="F275" s="70" t="str">
        <f aca="false">IFERROR(IF(Análisis!$K$37="🟡 CRÍTICO",Análisis!F37,""),"—")</f>
        <v/>
      </c>
      <c r="G275" s="67" t="str">
        <f aca="false">IFERROR(IF(Análisis!$K$37="🟡 CRÍTICO",Análisis!I37,""),"—")</f>
        <v/>
      </c>
      <c r="H275" s="67" t="str">
        <f aca="false">IFERROR(IF(Análisis!$K$37="🟡 CRÍTICO",Análisis!M37,""),"—")</f>
        <v/>
      </c>
      <c r="I275" s="71" t="str">
        <f aca="false">IFERROR(IF(Análisis!$K$37="🟡 CRÍTICO",Análisis!H37,""),"—")</f>
        <v/>
      </c>
      <c r="J275" s="67" t="str">
        <f aca="false">IFERROR(IF(Análisis!$K$37="🟡 CRÍTICO",Análisis!O37,""),"—")</f>
        <v/>
      </c>
    </row>
    <row r="276" customFormat="false" ht="15.75" hidden="false" customHeight="true" outlineLevel="0" collapsed="false">
      <c r="A276" s="67" t="str">
        <f aca="false">IFERROR(IF(Análisis!$K$38="🟡 CRÍTICO",Análisis!A38,""),"—")</f>
        <v/>
      </c>
      <c r="B276" s="68" t="str">
        <f aca="false">IFERROR(IF(Análisis!$K$38="🟡 CRÍTICO",Análisis!B38,""),"—")</f>
        <v/>
      </c>
      <c r="C276" s="67" t="str">
        <f aca="false">IFERROR(IF(Análisis!$K$38="🟡 CRÍTICO",Análisis!C38,""),"—")</f>
        <v/>
      </c>
      <c r="D276" s="67" t="str">
        <f aca="false">IFERROR(IF(Análisis!$K$38="🟡 CRÍTICO",Análisis!D38,""),"—")</f>
        <v/>
      </c>
      <c r="E276" s="69" t="str">
        <f aca="false">IFERROR(IF(Análisis!$K$38="🟡 CRÍTICO",Análisis!E38,""),"—")</f>
        <v/>
      </c>
      <c r="F276" s="70" t="str">
        <f aca="false">IFERROR(IF(Análisis!$K$38="🟡 CRÍTICO",Análisis!F38,""),"—")</f>
        <v/>
      </c>
      <c r="G276" s="67" t="str">
        <f aca="false">IFERROR(IF(Análisis!$K$38="🟡 CRÍTICO",Análisis!I38,""),"—")</f>
        <v/>
      </c>
      <c r="H276" s="67" t="str">
        <f aca="false">IFERROR(IF(Análisis!$K$38="🟡 CRÍTICO",Análisis!M38,""),"—")</f>
        <v/>
      </c>
      <c r="I276" s="71" t="str">
        <f aca="false">IFERROR(IF(Análisis!$K$38="🟡 CRÍTICO",Análisis!H38,""),"—")</f>
        <v/>
      </c>
      <c r="J276" s="67" t="str">
        <f aca="false">IFERROR(IF(Análisis!$K$38="🟡 CRÍTICO",Análisis!O38,""),"—")</f>
        <v/>
      </c>
    </row>
    <row r="277" customFormat="false" ht="15.75" hidden="false" customHeight="true" outlineLevel="0" collapsed="false">
      <c r="A277" s="67" t="str">
        <f aca="false">IFERROR(IF(Análisis!$K$39="🟡 CRÍTICO",Análisis!A39,""),"—")</f>
        <v>SKU-035</v>
      </c>
      <c r="B277" s="68" t="str">
        <f aca="false">IFERROR(IF(Análisis!$K$39="🟡 CRÍTICO",Análisis!B39,""),"—")</f>
        <v>Limpiador Piso 1L</v>
      </c>
      <c r="C277" s="67" t="str">
        <f aca="false">IFERROR(IF(Análisis!$K$39="🟡 CRÍTICO",Análisis!C39,""),"—")</f>
        <v>Limpieza del Hogar</v>
      </c>
      <c r="D277" s="67" t="n">
        <f aca="false">IFERROR(IF(Análisis!$K$39="🟡 CRÍTICO",Análisis!D39,""),"—")</f>
        <v>43</v>
      </c>
      <c r="E277" s="69" t="n">
        <f aca="false">IFERROR(IF(Análisis!$K$39="🟡 CRÍTICO",Análisis!E39,""),"—")</f>
        <v>183</v>
      </c>
      <c r="F277" s="70" t="n">
        <f aca="false">IFERROR(IF(Análisis!$K$39="🟡 CRÍTICO",Análisis!F39,""),"—")</f>
        <v>7.04918032786885</v>
      </c>
      <c r="G277" s="67" t="n">
        <f aca="false">IFERROR(IF(Análisis!$K$39="🟡 CRÍTICO",Análisis!I39,""),"—")</f>
        <v>30</v>
      </c>
      <c r="H277" s="67" t="str">
        <f aca="false">IFERROR(IF(Análisis!$K$39="🟡 CRÍTICO",Análisis!M39,""),"—")</f>
        <v>A</v>
      </c>
      <c r="I277" s="71" t="n">
        <f aca="false">IFERROR(IF(Análisis!$K$39="🟡 CRÍTICO",Análisis!H39,""),"—")</f>
        <v>133.3</v>
      </c>
      <c r="J277" s="67" t="str">
        <f aca="false">IFERROR(IF(Análisis!$K$39="🟡 CRÍTICO",Análisis!O39,""),"—")</f>
        <v>Revisar orden de compra</v>
      </c>
    </row>
    <row r="278" customFormat="false" ht="15.75" hidden="false" customHeight="true" outlineLevel="0" collapsed="false">
      <c r="A278" s="67" t="str">
        <f aca="false">IFERROR(IF(Análisis!$K$40="🟡 CRÍTICO",Análisis!A40,""),"—")</f>
        <v/>
      </c>
      <c r="B278" s="68" t="str">
        <f aca="false">IFERROR(IF(Análisis!$K$40="🟡 CRÍTICO",Análisis!B40,""),"—")</f>
        <v/>
      </c>
      <c r="C278" s="67" t="str">
        <f aca="false">IFERROR(IF(Análisis!$K$40="🟡 CRÍTICO",Análisis!C40,""),"—")</f>
        <v/>
      </c>
      <c r="D278" s="67" t="str">
        <f aca="false">IFERROR(IF(Análisis!$K$40="🟡 CRÍTICO",Análisis!D40,""),"—")</f>
        <v/>
      </c>
      <c r="E278" s="69" t="str">
        <f aca="false">IFERROR(IF(Análisis!$K$40="🟡 CRÍTICO",Análisis!E40,""),"—")</f>
        <v/>
      </c>
      <c r="F278" s="70" t="str">
        <f aca="false">IFERROR(IF(Análisis!$K$40="🟡 CRÍTICO",Análisis!F40,""),"—")</f>
        <v/>
      </c>
      <c r="G278" s="67" t="str">
        <f aca="false">IFERROR(IF(Análisis!$K$40="🟡 CRÍTICO",Análisis!I40,""),"—")</f>
        <v/>
      </c>
      <c r="H278" s="67" t="str">
        <f aca="false">IFERROR(IF(Análisis!$K$40="🟡 CRÍTICO",Análisis!M40,""),"—")</f>
        <v/>
      </c>
      <c r="I278" s="71" t="str">
        <f aca="false">IFERROR(IF(Análisis!$K$40="🟡 CRÍTICO",Análisis!H40,""),"—")</f>
        <v/>
      </c>
      <c r="J278" s="67" t="str">
        <f aca="false">IFERROR(IF(Análisis!$K$40="🟡 CRÍTICO",Análisis!O40,""),"—")</f>
        <v/>
      </c>
    </row>
    <row r="279" customFormat="false" ht="15.75" hidden="false" customHeight="true" outlineLevel="0" collapsed="false">
      <c r="A279" s="67" t="str">
        <f aca="false">IFERROR(IF(Análisis!$K$41="🟡 CRÍTICO",Análisis!A41,""),"—")</f>
        <v/>
      </c>
      <c r="B279" s="68" t="str">
        <f aca="false">IFERROR(IF(Análisis!$K$41="🟡 CRÍTICO",Análisis!B41,""),"—")</f>
        <v/>
      </c>
      <c r="C279" s="67" t="str">
        <f aca="false">IFERROR(IF(Análisis!$K$41="🟡 CRÍTICO",Análisis!C41,""),"—")</f>
        <v/>
      </c>
      <c r="D279" s="67" t="str">
        <f aca="false">IFERROR(IF(Análisis!$K$41="🟡 CRÍTICO",Análisis!D41,""),"—")</f>
        <v/>
      </c>
      <c r="E279" s="69" t="str">
        <f aca="false">IFERROR(IF(Análisis!$K$41="🟡 CRÍTICO",Análisis!E41,""),"—")</f>
        <v/>
      </c>
      <c r="F279" s="70" t="str">
        <f aca="false">IFERROR(IF(Análisis!$K$41="🟡 CRÍTICO",Análisis!F41,""),"—")</f>
        <v/>
      </c>
      <c r="G279" s="67" t="str">
        <f aca="false">IFERROR(IF(Análisis!$K$41="🟡 CRÍTICO",Análisis!I41,""),"—")</f>
        <v/>
      </c>
      <c r="H279" s="67" t="str">
        <f aca="false">IFERROR(IF(Análisis!$K$41="🟡 CRÍTICO",Análisis!M41,""),"—")</f>
        <v/>
      </c>
      <c r="I279" s="71" t="str">
        <f aca="false">IFERROR(IF(Análisis!$K$41="🟡 CRÍTICO",Análisis!H41,""),"—")</f>
        <v/>
      </c>
      <c r="J279" s="67" t="str">
        <f aca="false">IFERROR(IF(Análisis!$K$41="🟡 CRÍTICO",Análisis!O41,""),"—")</f>
        <v/>
      </c>
    </row>
    <row r="280" customFormat="false" ht="15.75" hidden="false" customHeight="true" outlineLevel="0" collapsed="false">
      <c r="A280" s="67" t="str">
        <f aca="false">IFERROR(IF(Análisis!$K$42="🟡 CRÍTICO",Análisis!A42,""),"—")</f>
        <v/>
      </c>
      <c r="B280" s="68" t="str">
        <f aca="false">IFERROR(IF(Análisis!$K$42="🟡 CRÍTICO",Análisis!B42,""),"—")</f>
        <v/>
      </c>
      <c r="C280" s="67" t="str">
        <f aca="false">IFERROR(IF(Análisis!$K$42="🟡 CRÍTICO",Análisis!C42,""),"—")</f>
        <v/>
      </c>
      <c r="D280" s="67" t="str">
        <f aca="false">IFERROR(IF(Análisis!$K$42="🟡 CRÍTICO",Análisis!D42,""),"—")</f>
        <v/>
      </c>
      <c r="E280" s="69" t="str">
        <f aca="false">IFERROR(IF(Análisis!$K$42="🟡 CRÍTICO",Análisis!E42,""),"—")</f>
        <v/>
      </c>
      <c r="F280" s="70" t="str">
        <f aca="false">IFERROR(IF(Análisis!$K$42="🟡 CRÍTICO",Análisis!F42,""),"—")</f>
        <v/>
      </c>
      <c r="G280" s="67" t="str">
        <f aca="false">IFERROR(IF(Análisis!$K$42="🟡 CRÍTICO",Análisis!I42,""),"—")</f>
        <v/>
      </c>
      <c r="H280" s="67" t="str">
        <f aca="false">IFERROR(IF(Análisis!$K$42="🟡 CRÍTICO",Análisis!M42,""),"—")</f>
        <v/>
      </c>
      <c r="I280" s="71" t="str">
        <f aca="false">IFERROR(IF(Análisis!$K$42="🟡 CRÍTICO",Análisis!H42,""),"—")</f>
        <v/>
      </c>
      <c r="J280" s="67" t="str">
        <f aca="false">IFERROR(IF(Análisis!$K$42="🟡 CRÍTICO",Análisis!O42,""),"—")</f>
        <v/>
      </c>
    </row>
    <row r="281" customFormat="false" ht="15.75" hidden="false" customHeight="true" outlineLevel="0" collapsed="false">
      <c r="A281" s="67" t="str">
        <f aca="false">IFERROR(IF(Análisis!$K$43="🟡 CRÍTICO",Análisis!A43,""),"—")</f>
        <v/>
      </c>
      <c r="B281" s="68" t="str">
        <f aca="false">IFERROR(IF(Análisis!$K$43="🟡 CRÍTICO",Análisis!B43,""),"—")</f>
        <v/>
      </c>
      <c r="C281" s="67" t="str">
        <f aca="false">IFERROR(IF(Análisis!$K$43="🟡 CRÍTICO",Análisis!C43,""),"—")</f>
        <v/>
      </c>
      <c r="D281" s="67" t="str">
        <f aca="false">IFERROR(IF(Análisis!$K$43="🟡 CRÍTICO",Análisis!D43,""),"—")</f>
        <v/>
      </c>
      <c r="E281" s="69" t="str">
        <f aca="false">IFERROR(IF(Análisis!$K$43="🟡 CRÍTICO",Análisis!E43,""),"—")</f>
        <v/>
      </c>
      <c r="F281" s="70" t="str">
        <f aca="false">IFERROR(IF(Análisis!$K$43="🟡 CRÍTICO",Análisis!F43,""),"—")</f>
        <v/>
      </c>
      <c r="G281" s="67" t="str">
        <f aca="false">IFERROR(IF(Análisis!$K$43="🟡 CRÍTICO",Análisis!I43,""),"—")</f>
        <v/>
      </c>
      <c r="H281" s="67" t="str">
        <f aca="false">IFERROR(IF(Análisis!$K$43="🟡 CRÍTICO",Análisis!M43,""),"—")</f>
        <v/>
      </c>
      <c r="I281" s="71" t="str">
        <f aca="false">IFERROR(IF(Análisis!$K$43="🟡 CRÍTICO",Análisis!H43,""),"—")</f>
        <v/>
      </c>
      <c r="J281" s="67" t="str">
        <f aca="false">IFERROR(IF(Análisis!$K$43="🟡 CRÍTICO",Análisis!O43,""),"—")</f>
        <v/>
      </c>
    </row>
    <row r="282" customFormat="false" ht="15.75" hidden="false" customHeight="true" outlineLevel="0" collapsed="false">
      <c r="A282" s="67" t="str">
        <f aca="false">IFERROR(IF(Análisis!$K$44="🟡 CRÍTICO",Análisis!A44,""),"—")</f>
        <v/>
      </c>
      <c r="B282" s="68" t="str">
        <f aca="false">IFERROR(IF(Análisis!$K$44="🟡 CRÍTICO",Análisis!B44,""),"—")</f>
        <v/>
      </c>
      <c r="C282" s="67" t="str">
        <f aca="false">IFERROR(IF(Análisis!$K$44="🟡 CRÍTICO",Análisis!C44,""),"—")</f>
        <v/>
      </c>
      <c r="D282" s="67" t="str">
        <f aca="false">IFERROR(IF(Análisis!$K$44="🟡 CRÍTICO",Análisis!D44,""),"—")</f>
        <v/>
      </c>
      <c r="E282" s="69" t="str">
        <f aca="false">IFERROR(IF(Análisis!$K$44="🟡 CRÍTICO",Análisis!E44,""),"—")</f>
        <v/>
      </c>
      <c r="F282" s="70" t="str">
        <f aca="false">IFERROR(IF(Análisis!$K$44="🟡 CRÍTICO",Análisis!F44,""),"—")</f>
        <v/>
      </c>
      <c r="G282" s="67" t="str">
        <f aca="false">IFERROR(IF(Análisis!$K$44="🟡 CRÍTICO",Análisis!I44,""),"—")</f>
        <v/>
      </c>
      <c r="H282" s="67" t="str">
        <f aca="false">IFERROR(IF(Análisis!$K$44="🟡 CRÍTICO",Análisis!M44,""),"—")</f>
        <v/>
      </c>
      <c r="I282" s="71" t="str">
        <f aca="false">IFERROR(IF(Análisis!$K$44="🟡 CRÍTICO",Análisis!H44,""),"—")</f>
        <v/>
      </c>
      <c r="J282" s="67" t="str">
        <f aca="false">IFERROR(IF(Análisis!$K$44="🟡 CRÍTICO",Análisis!O44,""),"—")</f>
        <v/>
      </c>
    </row>
    <row r="283" customFormat="false" ht="15.75" hidden="false" customHeight="true" outlineLevel="0" collapsed="false">
      <c r="A283" s="67" t="str">
        <f aca="false">IFERROR(IF(Análisis!$K$45="🟡 CRÍTICO",Análisis!A45,""),"—")</f>
        <v/>
      </c>
      <c r="B283" s="68" t="str">
        <f aca="false">IFERROR(IF(Análisis!$K$45="🟡 CRÍTICO",Análisis!B45,""),"—")</f>
        <v/>
      </c>
      <c r="C283" s="67" t="str">
        <f aca="false">IFERROR(IF(Análisis!$K$45="🟡 CRÍTICO",Análisis!C45,""),"—")</f>
        <v/>
      </c>
      <c r="D283" s="67" t="str">
        <f aca="false">IFERROR(IF(Análisis!$K$45="🟡 CRÍTICO",Análisis!D45,""),"—")</f>
        <v/>
      </c>
      <c r="E283" s="69" t="str">
        <f aca="false">IFERROR(IF(Análisis!$K$45="🟡 CRÍTICO",Análisis!E45,""),"—")</f>
        <v/>
      </c>
      <c r="F283" s="70" t="str">
        <f aca="false">IFERROR(IF(Análisis!$K$45="🟡 CRÍTICO",Análisis!F45,""),"—")</f>
        <v/>
      </c>
      <c r="G283" s="67" t="str">
        <f aca="false">IFERROR(IF(Análisis!$K$45="🟡 CRÍTICO",Análisis!I45,""),"—")</f>
        <v/>
      </c>
      <c r="H283" s="67" t="str">
        <f aca="false">IFERROR(IF(Análisis!$K$45="🟡 CRÍTICO",Análisis!M45,""),"—")</f>
        <v/>
      </c>
      <c r="I283" s="71" t="str">
        <f aca="false">IFERROR(IF(Análisis!$K$45="🟡 CRÍTICO",Análisis!H45,""),"—")</f>
        <v/>
      </c>
      <c r="J283" s="67" t="str">
        <f aca="false">IFERROR(IF(Análisis!$K$45="🟡 CRÍTICO",Análisis!O45,""),"—")</f>
        <v/>
      </c>
    </row>
    <row r="284" customFormat="false" ht="15.75" hidden="false" customHeight="true" outlineLevel="0" collapsed="false">
      <c r="A284" s="67" t="str">
        <f aca="false">IFERROR(IF(Análisis!$K$46="🟡 CRÍTICO",Análisis!A46,""),"—")</f>
        <v/>
      </c>
      <c r="B284" s="68" t="str">
        <f aca="false">IFERROR(IF(Análisis!$K$46="🟡 CRÍTICO",Análisis!B46,""),"—")</f>
        <v/>
      </c>
      <c r="C284" s="67" t="str">
        <f aca="false">IFERROR(IF(Análisis!$K$46="🟡 CRÍTICO",Análisis!C46,""),"—")</f>
        <v/>
      </c>
      <c r="D284" s="67" t="str">
        <f aca="false">IFERROR(IF(Análisis!$K$46="🟡 CRÍTICO",Análisis!D46,""),"—")</f>
        <v/>
      </c>
      <c r="E284" s="69" t="str">
        <f aca="false">IFERROR(IF(Análisis!$K$46="🟡 CRÍTICO",Análisis!E46,""),"—")</f>
        <v/>
      </c>
      <c r="F284" s="70" t="str">
        <f aca="false">IFERROR(IF(Análisis!$K$46="🟡 CRÍTICO",Análisis!F46,""),"—")</f>
        <v/>
      </c>
      <c r="G284" s="67" t="str">
        <f aca="false">IFERROR(IF(Análisis!$K$46="🟡 CRÍTICO",Análisis!I46,""),"—")</f>
        <v/>
      </c>
      <c r="H284" s="67" t="str">
        <f aca="false">IFERROR(IF(Análisis!$K$46="🟡 CRÍTICO",Análisis!M46,""),"—")</f>
        <v/>
      </c>
      <c r="I284" s="71" t="str">
        <f aca="false">IFERROR(IF(Análisis!$K$46="🟡 CRÍTICO",Análisis!H46,""),"—")</f>
        <v/>
      </c>
      <c r="J284" s="67" t="str">
        <f aca="false">IFERROR(IF(Análisis!$K$46="🟡 CRÍTICO",Análisis!O46,""),"—")</f>
        <v/>
      </c>
    </row>
    <row r="285" customFormat="false" ht="15.75" hidden="false" customHeight="true" outlineLevel="0" collapsed="false">
      <c r="A285" s="67" t="str">
        <f aca="false">IFERROR(IF(Análisis!$K$47="🟡 CRÍTICO",Análisis!A47,""),"—")</f>
        <v/>
      </c>
      <c r="B285" s="68" t="str">
        <f aca="false">IFERROR(IF(Análisis!$K$47="🟡 CRÍTICO",Análisis!B47,""),"—")</f>
        <v/>
      </c>
      <c r="C285" s="67" t="str">
        <f aca="false">IFERROR(IF(Análisis!$K$47="🟡 CRÍTICO",Análisis!C47,""),"—")</f>
        <v/>
      </c>
      <c r="D285" s="67" t="str">
        <f aca="false">IFERROR(IF(Análisis!$K$47="🟡 CRÍTICO",Análisis!D47,""),"—")</f>
        <v/>
      </c>
      <c r="E285" s="69" t="str">
        <f aca="false">IFERROR(IF(Análisis!$K$47="🟡 CRÍTICO",Análisis!E47,""),"—")</f>
        <v/>
      </c>
      <c r="F285" s="70" t="str">
        <f aca="false">IFERROR(IF(Análisis!$K$47="🟡 CRÍTICO",Análisis!F47,""),"—")</f>
        <v/>
      </c>
      <c r="G285" s="67" t="str">
        <f aca="false">IFERROR(IF(Análisis!$K$47="🟡 CRÍTICO",Análisis!I47,""),"—")</f>
        <v/>
      </c>
      <c r="H285" s="67" t="str">
        <f aca="false">IFERROR(IF(Análisis!$K$47="🟡 CRÍTICO",Análisis!M47,""),"—")</f>
        <v/>
      </c>
      <c r="I285" s="71" t="str">
        <f aca="false">IFERROR(IF(Análisis!$K$47="🟡 CRÍTICO",Análisis!H47,""),"—")</f>
        <v/>
      </c>
      <c r="J285" s="67" t="str">
        <f aca="false">IFERROR(IF(Análisis!$K$47="🟡 CRÍTICO",Análisis!O47,""),"—")</f>
        <v/>
      </c>
    </row>
    <row r="286" customFormat="false" ht="15.75" hidden="false" customHeight="true" outlineLevel="0" collapsed="false">
      <c r="A286" s="67" t="str">
        <f aca="false">IFERROR(IF(Análisis!$K$48="🟡 CRÍTICO",Análisis!A48,""),"—")</f>
        <v/>
      </c>
      <c r="B286" s="68" t="str">
        <f aca="false">IFERROR(IF(Análisis!$K$48="🟡 CRÍTICO",Análisis!B48,""),"—")</f>
        <v/>
      </c>
      <c r="C286" s="67" t="str">
        <f aca="false">IFERROR(IF(Análisis!$K$48="🟡 CRÍTICO",Análisis!C48,""),"—")</f>
        <v/>
      </c>
      <c r="D286" s="67" t="str">
        <f aca="false">IFERROR(IF(Análisis!$K$48="🟡 CRÍTICO",Análisis!D48,""),"—")</f>
        <v/>
      </c>
      <c r="E286" s="69" t="str">
        <f aca="false">IFERROR(IF(Análisis!$K$48="🟡 CRÍTICO",Análisis!E48,""),"—")</f>
        <v/>
      </c>
      <c r="F286" s="70" t="str">
        <f aca="false">IFERROR(IF(Análisis!$K$48="🟡 CRÍTICO",Análisis!F48,""),"—")</f>
        <v/>
      </c>
      <c r="G286" s="67" t="str">
        <f aca="false">IFERROR(IF(Análisis!$K$48="🟡 CRÍTICO",Análisis!I48,""),"—")</f>
        <v/>
      </c>
      <c r="H286" s="67" t="str">
        <f aca="false">IFERROR(IF(Análisis!$K$48="🟡 CRÍTICO",Análisis!M48,""),"—")</f>
        <v/>
      </c>
      <c r="I286" s="71" t="str">
        <f aca="false">IFERROR(IF(Análisis!$K$48="🟡 CRÍTICO",Análisis!H48,""),"—")</f>
        <v/>
      </c>
      <c r="J286" s="67" t="str">
        <f aca="false">IFERROR(IF(Análisis!$K$48="🟡 CRÍTICO",Análisis!O48,""),"—")</f>
        <v/>
      </c>
    </row>
    <row r="287" customFormat="false" ht="15.75" hidden="false" customHeight="true" outlineLevel="0" collapsed="false">
      <c r="A287" s="67" t="str">
        <f aca="false">IFERROR(IF(Análisis!$K$49="🟡 CRÍTICO",Análisis!A49,""),"—")</f>
        <v/>
      </c>
      <c r="B287" s="68" t="str">
        <f aca="false">IFERROR(IF(Análisis!$K$49="🟡 CRÍTICO",Análisis!B49,""),"—")</f>
        <v/>
      </c>
      <c r="C287" s="67" t="str">
        <f aca="false">IFERROR(IF(Análisis!$K$49="🟡 CRÍTICO",Análisis!C49,""),"—")</f>
        <v/>
      </c>
      <c r="D287" s="67" t="str">
        <f aca="false">IFERROR(IF(Análisis!$K$49="🟡 CRÍTICO",Análisis!D49,""),"—")</f>
        <v/>
      </c>
      <c r="E287" s="69" t="str">
        <f aca="false">IFERROR(IF(Análisis!$K$49="🟡 CRÍTICO",Análisis!E49,""),"—")</f>
        <v/>
      </c>
      <c r="F287" s="70" t="str">
        <f aca="false">IFERROR(IF(Análisis!$K$49="🟡 CRÍTICO",Análisis!F49,""),"—")</f>
        <v/>
      </c>
      <c r="G287" s="67" t="str">
        <f aca="false">IFERROR(IF(Análisis!$K$49="🟡 CRÍTICO",Análisis!I49,""),"—")</f>
        <v/>
      </c>
      <c r="H287" s="67" t="str">
        <f aca="false">IFERROR(IF(Análisis!$K$49="🟡 CRÍTICO",Análisis!M49,""),"—")</f>
        <v/>
      </c>
      <c r="I287" s="71" t="str">
        <f aca="false">IFERROR(IF(Análisis!$K$49="🟡 CRÍTICO",Análisis!H49,""),"—")</f>
        <v/>
      </c>
      <c r="J287" s="67" t="str">
        <f aca="false">IFERROR(IF(Análisis!$K$49="🟡 CRÍTICO",Análisis!O49,""),"—")</f>
        <v/>
      </c>
    </row>
    <row r="288" customFormat="false" ht="15.75" hidden="false" customHeight="true" outlineLevel="0" collapsed="false">
      <c r="A288" s="67" t="str">
        <f aca="false">IFERROR(IF(Análisis!$K$50="🟡 CRÍTICO",Análisis!A50,""),"—")</f>
        <v/>
      </c>
      <c r="B288" s="68" t="str">
        <f aca="false">IFERROR(IF(Análisis!$K$50="🟡 CRÍTICO",Análisis!B50,""),"—")</f>
        <v/>
      </c>
      <c r="C288" s="67" t="str">
        <f aca="false">IFERROR(IF(Análisis!$K$50="🟡 CRÍTICO",Análisis!C50,""),"—")</f>
        <v/>
      </c>
      <c r="D288" s="67" t="str">
        <f aca="false">IFERROR(IF(Análisis!$K$50="🟡 CRÍTICO",Análisis!D50,""),"—")</f>
        <v/>
      </c>
      <c r="E288" s="69" t="str">
        <f aca="false">IFERROR(IF(Análisis!$K$50="🟡 CRÍTICO",Análisis!E50,""),"—")</f>
        <v/>
      </c>
      <c r="F288" s="70" t="str">
        <f aca="false">IFERROR(IF(Análisis!$K$50="🟡 CRÍTICO",Análisis!F50,""),"—")</f>
        <v/>
      </c>
      <c r="G288" s="67" t="str">
        <f aca="false">IFERROR(IF(Análisis!$K$50="🟡 CRÍTICO",Análisis!I50,""),"—")</f>
        <v/>
      </c>
      <c r="H288" s="67" t="str">
        <f aca="false">IFERROR(IF(Análisis!$K$50="🟡 CRÍTICO",Análisis!M50,""),"—")</f>
        <v/>
      </c>
      <c r="I288" s="71" t="str">
        <f aca="false">IFERROR(IF(Análisis!$K$50="🟡 CRÍTICO",Análisis!H50,""),"—")</f>
        <v/>
      </c>
      <c r="J288" s="67" t="str">
        <f aca="false">IFERROR(IF(Análisis!$K$50="🟡 CRÍTICO",Análisis!O50,""),"—")</f>
        <v/>
      </c>
    </row>
    <row r="289" customFormat="false" ht="15.75" hidden="false" customHeight="true" outlineLevel="0" collapsed="false">
      <c r="A289" s="67" t="str">
        <f aca="false">IFERROR(IF(Análisis!$K$51="🟡 CRÍTICO",Análisis!A51,""),"—")</f>
        <v/>
      </c>
      <c r="B289" s="68" t="str">
        <f aca="false">IFERROR(IF(Análisis!$K$51="🟡 CRÍTICO",Análisis!B51,""),"—")</f>
        <v/>
      </c>
      <c r="C289" s="67" t="str">
        <f aca="false">IFERROR(IF(Análisis!$K$51="🟡 CRÍTICO",Análisis!C51,""),"—")</f>
        <v/>
      </c>
      <c r="D289" s="67" t="str">
        <f aca="false">IFERROR(IF(Análisis!$K$51="🟡 CRÍTICO",Análisis!D51,""),"—")</f>
        <v/>
      </c>
      <c r="E289" s="69" t="str">
        <f aca="false">IFERROR(IF(Análisis!$K$51="🟡 CRÍTICO",Análisis!E51,""),"—")</f>
        <v/>
      </c>
      <c r="F289" s="70" t="str">
        <f aca="false">IFERROR(IF(Análisis!$K$51="🟡 CRÍTICO",Análisis!F51,""),"—")</f>
        <v/>
      </c>
      <c r="G289" s="67" t="str">
        <f aca="false">IFERROR(IF(Análisis!$K$51="🟡 CRÍTICO",Análisis!I51,""),"—")</f>
        <v/>
      </c>
      <c r="H289" s="67" t="str">
        <f aca="false">IFERROR(IF(Análisis!$K$51="🟡 CRÍTICO",Análisis!M51,""),"—")</f>
        <v/>
      </c>
      <c r="I289" s="71" t="str">
        <f aca="false">IFERROR(IF(Análisis!$K$51="🟡 CRÍTICO",Análisis!H51,""),"—")</f>
        <v/>
      </c>
      <c r="J289" s="67" t="str">
        <f aca="false">IFERROR(IF(Análisis!$K$51="🟡 CRÍTICO",Análisis!O51,""),"—")</f>
        <v/>
      </c>
    </row>
    <row r="290" customFormat="false" ht="15.75" hidden="false" customHeight="true" outlineLevel="0" collapsed="false">
      <c r="A290" s="67" t="str">
        <f aca="false">IFERROR(IF(Análisis!$K$52="🟡 CRÍTICO",Análisis!A52,""),"—")</f>
        <v/>
      </c>
      <c r="B290" s="68" t="str">
        <f aca="false">IFERROR(IF(Análisis!$K$52="🟡 CRÍTICO",Análisis!B52,""),"—")</f>
        <v/>
      </c>
      <c r="C290" s="67" t="str">
        <f aca="false">IFERROR(IF(Análisis!$K$52="🟡 CRÍTICO",Análisis!C52,""),"—")</f>
        <v/>
      </c>
      <c r="D290" s="67" t="str">
        <f aca="false">IFERROR(IF(Análisis!$K$52="🟡 CRÍTICO",Análisis!D52,""),"—")</f>
        <v/>
      </c>
      <c r="E290" s="69" t="str">
        <f aca="false">IFERROR(IF(Análisis!$K$52="🟡 CRÍTICO",Análisis!E52,""),"—")</f>
        <v/>
      </c>
      <c r="F290" s="70" t="str">
        <f aca="false">IFERROR(IF(Análisis!$K$52="🟡 CRÍTICO",Análisis!F52,""),"—")</f>
        <v/>
      </c>
      <c r="G290" s="67" t="str">
        <f aca="false">IFERROR(IF(Análisis!$K$52="🟡 CRÍTICO",Análisis!I52,""),"—")</f>
        <v/>
      </c>
      <c r="H290" s="67" t="str">
        <f aca="false">IFERROR(IF(Análisis!$K$52="🟡 CRÍTICO",Análisis!M52,""),"—")</f>
        <v/>
      </c>
      <c r="I290" s="71" t="str">
        <f aca="false">IFERROR(IF(Análisis!$K$52="🟡 CRÍTICO",Análisis!H52,""),"—")</f>
        <v/>
      </c>
      <c r="J290" s="67" t="str">
        <f aca="false">IFERROR(IF(Análisis!$K$52="🟡 CRÍTICO",Análisis!O52,""),"—")</f>
        <v/>
      </c>
    </row>
    <row r="291" customFormat="false" ht="15.75" hidden="false" customHeight="true" outlineLevel="0" collapsed="false">
      <c r="A291" s="67" t="str">
        <f aca="false">IFERROR(IF(Análisis!$K$53="🟡 CRÍTICO",Análisis!A53,""),"—")</f>
        <v/>
      </c>
      <c r="B291" s="68" t="str">
        <f aca="false">IFERROR(IF(Análisis!$K$53="🟡 CRÍTICO",Análisis!B53,""),"—")</f>
        <v/>
      </c>
      <c r="C291" s="67" t="str">
        <f aca="false">IFERROR(IF(Análisis!$K$53="🟡 CRÍTICO",Análisis!C53,""),"—")</f>
        <v/>
      </c>
      <c r="D291" s="67" t="str">
        <f aca="false">IFERROR(IF(Análisis!$K$53="🟡 CRÍTICO",Análisis!D53,""),"—")</f>
        <v/>
      </c>
      <c r="E291" s="69" t="str">
        <f aca="false">IFERROR(IF(Análisis!$K$53="🟡 CRÍTICO",Análisis!E53,""),"—")</f>
        <v/>
      </c>
      <c r="F291" s="70" t="str">
        <f aca="false">IFERROR(IF(Análisis!$K$53="🟡 CRÍTICO",Análisis!F53,""),"—")</f>
        <v/>
      </c>
      <c r="G291" s="67" t="str">
        <f aca="false">IFERROR(IF(Análisis!$K$53="🟡 CRÍTICO",Análisis!I53,""),"—")</f>
        <v/>
      </c>
      <c r="H291" s="67" t="str">
        <f aca="false">IFERROR(IF(Análisis!$K$53="🟡 CRÍTICO",Análisis!M53,""),"—")</f>
        <v/>
      </c>
      <c r="I291" s="71" t="str">
        <f aca="false">IFERROR(IF(Análisis!$K$53="🟡 CRÍTICO",Análisis!H53,""),"—")</f>
        <v/>
      </c>
      <c r="J291" s="67" t="str">
        <f aca="false">IFERROR(IF(Análisis!$K$53="🟡 CRÍTICO",Análisis!O53,""),"—")</f>
        <v/>
      </c>
    </row>
    <row r="292" customFormat="false" ht="15.75" hidden="false" customHeight="true" outlineLevel="0" collapsed="false">
      <c r="A292" s="67" t="str">
        <f aca="false">IFERROR(IF(Análisis!$K$54="🟡 CRÍTICO",Análisis!A54,""),"—")</f>
        <v/>
      </c>
      <c r="B292" s="68" t="str">
        <f aca="false">IFERROR(IF(Análisis!$K$54="🟡 CRÍTICO",Análisis!B54,""),"—")</f>
        <v/>
      </c>
      <c r="C292" s="67" t="str">
        <f aca="false">IFERROR(IF(Análisis!$K$54="🟡 CRÍTICO",Análisis!C54,""),"—")</f>
        <v/>
      </c>
      <c r="D292" s="67" t="str">
        <f aca="false">IFERROR(IF(Análisis!$K$54="🟡 CRÍTICO",Análisis!D54,""),"—")</f>
        <v/>
      </c>
      <c r="E292" s="69" t="str">
        <f aca="false">IFERROR(IF(Análisis!$K$54="🟡 CRÍTICO",Análisis!E54,""),"—")</f>
        <v/>
      </c>
      <c r="F292" s="70" t="str">
        <f aca="false">IFERROR(IF(Análisis!$K$54="🟡 CRÍTICO",Análisis!F54,""),"—")</f>
        <v/>
      </c>
      <c r="G292" s="67" t="str">
        <f aca="false">IFERROR(IF(Análisis!$K$54="🟡 CRÍTICO",Análisis!I54,""),"—")</f>
        <v/>
      </c>
      <c r="H292" s="67" t="str">
        <f aca="false">IFERROR(IF(Análisis!$K$54="🟡 CRÍTICO",Análisis!M54,""),"—")</f>
        <v/>
      </c>
      <c r="I292" s="71" t="str">
        <f aca="false">IFERROR(IF(Análisis!$K$54="🟡 CRÍTICO",Análisis!H54,""),"—")</f>
        <v/>
      </c>
      <c r="J292" s="67" t="str">
        <f aca="false">IFERROR(IF(Análisis!$K$54="🟡 CRÍTICO",Análisis!O54,""),"—")</f>
        <v/>
      </c>
    </row>
    <row r="293" customFormat="false" ht="15.75" hidden="false" customHeight="true" outlineLevel="0" collapsed="false">
      <c r="A293" s="67" t="str">
        <f aca="false">IFERROR(IF(Análisis!$K$55="🟡 CRÍTICO",Análisis!A55,""),"—")</f>
        <v/>
      </c>
      <c r="B293" s="68" t="str">
        <f aca="false">IFERROR(IF(Análisis!$K$55="🟡 CRÍTICO",Análisis!B55,""),"—")</f>
        <v/>
      </c>
      <c r="C293" s="67" t="str">
        <f aca="false">IFERROR(IF(Análisis!$K$55="🟡 CRÍTICO",Análisis!C55,""),"—")</f>
        <v/>
      </c>
      <c r="D293" s="67" t="str">
        <f aca="false">IFERROR(IF(Análisis!$K$55="🟡 CRÍTICO",Análisis!D55,""),"—")</f>
        <v/>
      </c>
      <c r="E293" s="69" t="str">
        <f aca="false">IFERROR(IF(Análisis!$K$55="🟡 CRÍTICO",Análisis!E55,""),"—")</f>
        <v/>
      </c>
      <c r="F293" s="70" t="str">
        <f aca="false">IFERROR(IF(Análisis!$K$55="🟡 CRÍTICO",Análisis!F55,""),"—")</f>
        <v/>
      </c>
      <c r="G293" s="67" t="str">
        <f aca="false">IFERROR(IF(Análisis!$K$55="🟡 CRÍTICO",Análisis!I55,""),"—")</f>
        <v/>
      </c>
      <c r="H293" s="67" t="str">
        <f aca="false">IFERROR(IF(Análisis!$K$55="🟡 CRÍTICO",Análisis!M55,""),"—")</f>
        <v/>
      </c>
      <c r="I293" s="71" t="str">
        <f aca="false">IFERROR(IF(Análisis!$K$55="🟡 CRÍTICO",Análisis!H55,""),"—")</f>
        <v/>
      </c>
      <c r="J293" s="67" t="str">
        <f aca="false">IFERROR(IF(Análisis!$K$55="🟡 CRÍTICO",Análisis!O55,""),"—")</f>
        <v/>
      </c>
    </row>
    <row r="294" customFormat="false" ht="15.75" hidden="false" customHeight="true" outlineLevel="0" collapsed="false">
      <c r="A294" s="67" t="str">
        <f aca="false">IFERROR(IF(Análisis!$K$56="🟡 CRÍTICO",Análisis!A56,""),"—")</f>
        <v/>
      </c>
      <c r="B294" s="68" t="str">
        <f aca="false">IFERROR(IF(Análisis!$K$56="🟡 CRÍTICO",Análisis!B56,""),"—")</f>
        <v/>
      </c>
      <c r="C294" s="67" t="str">
        <f aca="false">IFERROR(IF(Análisis!$K$56="🟡 CRÍTICO",Análisis!C56,""),"—")</f>
        <v/>
      </c>
      <c r="D294" s="67" t="str">
        <f aca="false">IFERROR(IF(Análisis!$K$56="🟡 CRÍTICO",Análisis!D56,""),"—")</f>
        <v/>
      </c>
      <c r="E294" s="69" t="str">
        <f aca="false">IFERROR(IF(Análisis!$K$56="🟡 CRÍTICO",Análisis!E56,""),"—")</f>
        <v/>
      </c>
      <c r="F294" s="70" t="str">
        <f aca="false">IFERROR(IF(Análisis!$K$56="🟡 CRÍTICO",Análisis!F56,""),"—")</f>
        <v/>
      </c>
      <c r="G294" s="67" t="str">
        <f aca="false">IFERROR(IF(Análisis!$K$56="🟡 CRÍTICO",Análisis!I56,""),"—")</f>
        <v/>
      </c>
      <c r="H294" s="67" t="str">
        <f aca="false">IFERROR(IF(Análisis!$K$56="🟡 CRÍTICO",Análisis!M56,""),"—")</f>
        <v/>
      </c>
      <c r="I294" s="71" t="str">
        <f aca="false">IFERROR(IF(Análisis!$K$56="🟡 CRÍTICO",Análisis!H56,""),"—")</f>
        <v/>
      </c>
      <c r="J294" s="67" t="str">
        <f aca="false">IFERROR(IF(Análisis!$K$56="🟡 CRÍTICO",Análisis!O56,""),"—")</f>
        <v/>
      </c>
    </row>
    <row r="295" customFormat="false" ht="15.75" hidden="false" customHeight="true" outlineLevel="0" collapsed="false">
      <c r="A295" s="67" t="str">
        <f aca="false">IFERROR(IF(Análisis!$K$57="🟡 CRÍTICO",Análisis!A57,""),"—")</f>
        <v/>
      </c>
      <c r="B295" s="68" t="str">
        <f aca="false">IFERROR(IF(Análisis!$K$57="🟡 CRÍTICO",Análisis!B57,""),"—")</f>
        <v/>
      </c>
      <c r="C295" s="67" t="str">
        <f aca="false">IFERROR(IF(Análisis!$K$57="🟡 CRÍTICO",Análisis!C57,""),"—")</f>
        <v/>
      </c>
      <c r="D295" s="67" t="str">
        <f aca="false">IFERROR(IF(Análisis!$K$57="🟡 CRÍTICO",Análisis!D57,""),"—")</f>
        <v/>
      </c>
      <c r="E295" s="69" t="str">
        <f aca="false">IFERROR(IF(Análisis!$K$57="🟡 CRÍTICO",Análisis!E57,""),"—")</f>
        <v/>
      </c>
      <c r="F295" s="70" t="str">
        <f aca="false">IFERROR(IF(Análisis!$K$57="🟡 CRÍTICO",Análisis!F57,""),"—")</f>
        <v/>
      </c>
      <c r="G295" s="67" t="str">
        <f aca="false">IFERROR(IF(Análisis!$K$57="🟡 CRÍTICO",Análisis!I57,""),"—")</f>
        <v/>
      </c>
      <c r="H295" s="67" t="str">
        <f aca="false">IFERROR(IF(Análisis!$K$57="🟡 CRÍTICO",Análisis!M57,""),"—")</f>
        <v/>
      </c>
      <c r="I295" s="71" t="str">
        <f aca="false">IFERROR(IF(Análisis!$K$57="🟡 CRÍTICO",Análisis!H57,""),"—")</f>
        <v/>
      </c>
      <c r="J295" s="67" t="str">
        <f aca="false">IFERROR(IF(Análisis!$K$57="🟡 CRÍTICO",Análisis!O57,""),"—")</f>
        <v/>
      </c>
    </row>
    <row r="296" customFormat="false" ht="15.75" hidden="false" customHeight="true" outlineLevel="0" collapsed="false">
      <c r="A296" s="67" t="str">
        <f aca="false">IFERROR(IF(Análisis!$K$58="🟡 CRÍTICO",Análisis!A58,""),"—")</f>
        <v/>
      </c>
      <c r="B296" s="68" t="str">
        <f aca="false">IFERROR(IF(Análisis!$K$58="🟡 CRÍTICO",Análisis!B58,""),"—")</f>
        <v/>
      </c>
      <c r="C296" s="67" t="str">
        <f aca="false">IFERROR(IF(Análisis!$K$58="🟡 CRÍTICO",Análisis!C58,""),"—")</f>
        <v/>
      </c>
      <c r="D296" s="67" t="str">
        <f aca="false">IFERROR(IF(Análisis!$K$58="🟡 CRÍTICO",Análisis!D58,""),"—")</f>
        <v/>
      </c>
      <c r="E296" s="69" t="str">
        <f aca="false">IFERROR(IF(Análisis!$K$58="🟡 CRÍTICO",Análisis!E58,""),"—")</f>
        <v/>
      </c>
      <c r="F296" s="70" t="str">
        <f aca="false">IFERROR(IF(Análisis!$K$58="🟡 CRÍTICO",Análisis!F58,""),"—")</f>
        <v/>
      </c>
      <c r="G296" s="67" t="str">
        <f aca="false">IFERROR(IF(Análisis!$K$58="🟡 CRÍTICO",Análisis!I58,""),"—")</f>
        <v/>
      </c>
      <c r="H296" s="67" t="str">
        <f aca="false">IFERROR(IF(Análisis!$K$58="🟡 CRÍTICO",Análisis!M58,""),"—")</f>
        <v/>
      </c>
      <c r="I296" s="71" t="str">
        <f aca="false">IFERROR(IF(Análisis!$K$58="🟡 CRÍTICO",Análisis!H58,""),"—")</f>
        <v/>
      </c>
      <c r="J296" s="67" t="str">
        <f aca="false">IFERROR(IF(Análisis!$K$58="🟡 CRÍTICO",Análisis!O58,""),"—")</f>
        <v/>
      </c>
    </row>
    <row r="297" customFormat="false" ht="15.75" hidden="false" customHeight="true" outlineLevel="0" collapsed="false">
      <c r="A297" s="67" t="str">
        <f aca="false">IFERROR(IF(Análisis!$K$59="🟡 CRÍTICO",Análisis!A59,""),"—")</f>
        <v/>
      </c>
      <c r="B297" s="68" t="str">
        <f aca="false">IFERROR(IF(Análisis!$K$59="🟡 CRÍTICO",Análisis!B59,""),"—")</f>
        <v/>
      </c>
      <c r="C297" s="67" t="str">
        <f aca="false">IFERROR(IF(Análisis!$K$59="🟡 CRÍTICO",Análisis!C59,""),"—")</f>
        <v/>
      </c>
      <c r="D297" s="67" t="str">
        <f aca="false">IFERROR(IF(Análisis!$K$59="🟡 CRÍTICO",Análisis!D59,""),"—")</f>
        <v/>
      </c>
      <c r="E297" s="69" t="str">
        <f aca="false">IFERROR(IF(Análisis!$K$59="🟡 CRÍTICO",Análisis!E59,""),"—")</f>
        <v/>
      </c>
      <c r="F297" s="70" t="str">
        <f aca="false">IFERROR(IF(Análisis!$K$59="🟡 CRÍTICO",Análisis!F59,""),"—")</f>
        <v/>
      </c>
      <c r="G297" s="67" t="str">
        <f aca="false">IFERROR(IF(Análisis!$K$59="🟡 CRÍTICO",Análisis!I59,""),"—")</f>
        <v/>
      </c>
      <c r="H297" s="67" t="str">
        <f aca="false">IFERROR(IF(Análisis!$K$59="🟡 CRÍTICO",Análisis!M59,""),"—")</f>
        <v/>
      </c>
      <c r="I297" s="71" t="str">
        <f aca="false">IFERROR(IF(Análisis!$K$59="🟡 CRÍTICO",Análisis!H59,""),"—")</f>
        <v/>
      </c>
      <c r="J297" s="67" t="str">
        <f aca="false">IFERROR(IF(Análisis!$K$59="🟡 CRÍTICO",Análisis!O59,""),"—")</f>
        <v/>
      </c>
    </row>
    <row r="298" customFormat="false" ht="15.75" hidden="false" customHeight="true" outlineLevel="0" collapsed="false">
      <c r="A298" s="67" t="str">
        <f aca="false">IFERROR(IF(Análisis!$K$60="🟡 CRÍTICO",Análisis!A60,""),"—")</f>
        <v/>
      </c>
      <c r="B298" s="68" t="str">
        <f aca="false">IFERROR(IF(Análisis!$K$60="🟡 CRÍTICO",Análisis!B60,""),"—")</f>
        <v/>
      </c>
      <c r="C298" s="67" t="str">
        <f aca="false">IFERROR(IF(Análisis!$K$60="🟡 CRÍTICO",Análisis!C60,""),"—")</f>
        <v/>
      </c>
      <c r="D298" s="67" t="str">
        <f aca="false">IFERROR(IF(Análisis!$K$60="🟡 CRÍTICO",Análisis!D60,""),"—")</f>
        <v/>
      </c>
      <c r="E298" s="69" t="str">
        <f aca="false">IFERROR(IF(Análisis!$K$60="🟡 CRÍTICO",Análisis!E60,""),"—")</f>
        <v/>
      </c>
      <c r="F298" s="70" t="str">
        <f aca="false">IFERROR(IF(Análisis!$K$60="🟡 CRÍTICO",Análisis!F60,""),"—")</f>
        <v/>
      </c>
      <c r="G298" s="67" t="str">
        <f aca="false">IFERROR(IF(Análisis!$K$60="🟡 CRÍTICO",Análisis!I60,""),"—")</f>
        <v/>
      </c>
      <c r="H298" s="67" t="str">
        <f aca="false">IFERROR(IF(Análisis!$K$60="🟡 CRÍTICO",Análisis!M60,""),"—")</f>
        <v/>
      </c>
      <c r="I298" s="71" t="str">
        <f aca="false">IFERROR(IF(Análisis!$K$60="🟡 CRÍTICO",Análisis!H60,""),"—")</f>
        <v/>
      </c>
      <c r="J298" s="67" t="str">
        <f aca="false">IFERROR(IF(Análisis!$K$60="🟡 CRÍTICO",Análisis!O60,""),"—")</f>
        <v/>
      </c>
    </row>
    <row r="299" customFormat="false" ht="15.75" hidden="false" customHeight="true" outlineLevel="0" collapsed="false">
      <c r="A299" s="67" t="str">
        <f aca="false">IFERROR(IF(Análisis!$K$61="🟡 CRÍTICO",Análisis!A61,""),"—")</f>
        <v/>
      </c>
      <c r="B299" s="68" t="str">
        <f aca="false">IFERROR(IF(Análisis!$K$61="🟡 CRÍTICO",Análisis!B61,""),"—")</f>
        <v/>
      </c>
      <c r="C299" s="67" t="str">
        <f aca="false">IFERROR(IF(Análisis!$K$61="🟡 CRÍTICO",Análisis!C61,""),"—")</f>
        <v/>
      </c>
      <c r="D299" s="67" t="str">
        <f aca="false">IFERROR(IF(Análisis!$K$61="🟡 CRÍTICO",Análisis!D61,""),"—")</f>
        <v/>
      </c>
      <c r="E299" s="69" t="str">
        <f aca="false">IFERROR(IF(Análisis!$K$61="🟡 CRÍTICO",Análisis!E61,""),"—")</f>
        <v/>
      </c>
      <c r="F299" s="70" t="str">
        <f aca="false">IFERROR(IF(Análisis!$K$61="🟡 CRÍTICO",Análisis!F61,""),"—")</f>
        <v/>
      </c>
      <c r="G299" s="67" t="str">
        <f aca="false">IFERROR(IF(Análisis!$K$61="🟡 CRÍTICO",Análisis!I61,""),"—")</f>
        <v/>
      </c>
      <c r="H299" s="67" t="str">
        <f aca="false">IFERROR(IF(Análisis!$K$61="🟡 CRÍTICO",Análisis!M61,""),"—")</f>
        <v/>
      </c>
      <c r="I299" s="71" t="str">
        <f aca="false">IFERROR(IF(Análisis!$K$61="🟡 CRÍTICO",Análisis!H61,""),"—")</f>
        <v/>
      </c>
      <c r="J299" s="67" t="str">
        <f aca="false">IFERROR(IF(Análisis!$K$61="🟡 CRÍTICO",Análisis!O61,""),"—")</f>
        <v/>
      </c>
    </row>
    <row r="300" customFormat="false" ht="15.75" hidden="false" customHeight="true" outlineLevel="0" collapsed="false">
      <c r="A300" s="67" t="str">
        <f aca="false">IFERROR(IF(Análisis!$K$62="🟡 CRÍTICO",Análisis!A62,""),"—")</f>
        <v/>
      </c>
      <c r="B300" s="68" t="str">
        <f aca="false">IFERROR(IF(Análisis!$K$62="🟡 CRÍTICO",Análisis!B62,""),"—")</f>
        <v/>
      </c>
      <c r="C300" s="67" t="str">
        <f aca="false">IFERROR(IF(Análisis!$K$62="🟡 CRÍTICO",Análisis!C62,""),"—")</f>
        <v/>
      </c>
      <c r="D300" s="67" t="str">
        <f aca="false">IFERROR(IF(Análisis!$K$62="🟡 CRÍTICO",Análisis!D62,""),"—")</f>
        <v/>
      </c>
      <c r="E300" s="69" t="str">
        <f aca="false">IFERROR(IF(Análisis!$K$62="🟡 CRÍTICO",Análisis!E62,""),"—")</f>
        <v/>
      </c>
      <c r="F300" s="70" t="str">
        <f aca="false">IFERROR(IF(Análisis!$K$62="🟡 CRÍTICO",Análisis!F62,""),"—")</f>
        <v/>
      </c>
      <c r="G300" s="67" t="str">
        <f aca="false">IFERROR(IF(Análisis!$K$62="🟡 CRÍTICO",Análisis!I62,""),"—")</f>
        <v/>
      </c>
      <c r="H300" s="67" t="str">
        <f aca="false">IFERROR(IF(Análisis!$K$62="🟡 CRÍTICO",Análisis!M62,""),"—")</f>
        <v/>
      </c>
      <c r="I300" s="71" t="str">
        <f aca="false">IFERROR(IF(Análisis!$K$62="🟡 CRÍTICO",Análisis!H62,""),"—")</f>
        <v/>
      </c>
      <c r="J300" s="67" t="str">
        <f aca="false">IFERROR(IF(Análisis!$K$62="🟡 CRÍTICO",Análisis!O62,""),"—")</f>
        <v/>
      </c>
    </row>
    <row r="301" customFormat="false" ht="15.75" hidden="false" customHeight="true" outlineLevel="0" collapsed="false">
      <c r="A301" s="67" t="str">
        <f aca="false">IFERROR(IF(Análisis!$K$63="🟡 CRÍTICO",Análisis!A63,""),"—")</f>
        <v/>
      </c>
      <c r="B301" s="68" t="str">
        <f aca="false">IFERROR(IF(Análisis!$K$63="🟡 CRÍTICO",Análisis!B63,""),"—")</f>
        <v/>
      </c>
      <c r="C301" s="67" t="str">
        <f aca="false">IFERROR(IF(Análisis!$K$63="🟡 CRÍTICO",Análisis!C63,""),"—")</f>
        <v/>
      </c>
      <c r="D301" s="67" t="str">
        <f aca="false">IFERROR(IF(Análisis!$K$63="🟡 CRÍTICO",Análisis!D63,""),"—")</f>
        <v/>
      </c>
      <c r="E301" s="69" t="str">
        <f aca="false">IFERROR(IF(Análisis!$K$63="🟡 CRÍTICO",Análisis!E63,""),"—")</f>
        <v/>
      </c>
      <c r="F301" s="70" t="str">
        <f aca="false">IFERROR(IF(Análisis!$K$63="🟡 CRÍTICO",Análisis!F63,""),"—")</f>
        <v/>
      </c>
      <c r="G301" s="67" t="str">
        <f aca="false">IFERROR(IF(Análisis!$K$63="🟡 CRÍTICO",Análisis!I63,""),"—")</f>
        <v/>
      </c>
      <c r="H301" s="67" t="str">
        <f aca="false">IFERROR(IF(Análisis!$K$63="🟡 CRÍTICO",Análisis!M63,""),"—")</f>
        <v/>
      </c>
      <c r="I301" s="71" t="str">
        <f aca="false">IFERROR(IF(Análisis!$K$63="🟡 CRÍTICO",Análisis!H63,""),"—")</f>
        <v/>
      </c>
      <c r="J301" s="67" t="str">
        <f aca="false">IFERROR(IF(Análisis!$K$63="🟡 CRÍTICO",Análisis!O63,""),"—")</f>
        <v/>
      </c>
    </row>
    <row r="302" customFormat="false" ht="15.75" hidden="false" customHeight="true" outlineLevel="0" collapsed="false">
      <c r="A302" s="67" t="str">
        <f aca="false">IFERROR(IF(Análisis!$K$64="🟡 CRÍTICO",Análisis!A64,""),"—")</f>
        <v/>
      </c>
      <c r="B302" s="68" t="str">
        <f aca="false">IFERROR(IF(Análisis!$K$64="🟡 CRÍTICO",Análisis!B64,""),"—")</f>
        <v/>
      </c>
      <c r="C302" s="67" t="str">
        <f aca="false">IFERROR(IF(Análisis!$K$64="🟡 CRÍTICO",Análisis!C64,""),"—")</f>
        <v/>
      </c>
      <c r="D302" s="67" t="str">
        <f aca="false">IFERROR(IF(Análisis!$K$64="🟡 CRÍTICO",Análisis!D64,""),"—")</f>
        <v/>
      </c>
      <c r="E302" s="69" t="str">
        <f aca="false">IFERROR(IF(Análisis!$K$64="🟡 CRÍTICO",Análisis!E64,""),"—")</f>
        <v/>
      </c>
      <c r="F302" s="70" t="str">
        <f aca="false">IFERROR(IF(Análisis!$K$64="🟡 CRÍTICO",Análisis!F64,""),"—")</f>
        <v/>
      </c>
      <c r="G302" s="67" t="str">
        <f aca="false">IFERROR(IF(Análisis!$K$64="🟡 CRÍTICO",Análisis!I64,""),"—")</f>
        <v/>
      </c>
      <c r="H302" s="67" t="str">
        <f aca="false">IFERROR(IF(Análisis!$K$64="🟡 CRÍTICO",Análisis!M64,""),"—")</f>
        <v/>
      </c>
      <c r="I302" s="71" t="str">
        <f aca="false">IFERROR(IF(Análisis!$K$64="🟡 CRÍTICO",Análisis!H64,""),"—")</f>
        <v/>
      </c>
      <c r="J302" s="67" t="str">
        <f aca="false">IFERROR(IF(Análisis!$K$64="🟡 CRÍTICO",Análisis!O64,""),"—")</f>
        <v/>
      </c>
    </row>
    <row r="303" customFormat="false" ht="15.75" hidden="false" customHeight="true" outlineLevel="0" collapsed="false">
      <c r="A303" s="67" t="str">
        <f aca="false">IFERROR(IF(Análisis!$K$65="🟡 CRÍTICO",Análisis!A65,""),"—")</f>
        <v/>
      </c>
      <c r="B303" s="68" t="str">
        <f aca="false">IFERROR(IF(Análisis!$K$65="🟡 CRÍTICO",Análisis!B65,""),"—")</f>
        <v/>
      </c>
      <c r="C303" s="67" t="str">
        <f aca="false">IFERROR(IF(Análisis!$K$65="🟡 CRÍTICO",Análisis!C65,""),"—")</f>
        <v/>
      </c>
      <c r="D303" s="67" t="str">
        <f aca="false">IFERROR(IF(Análisis!$K$65="🟡 CRÍTICO",Análisis!D65,""),"—")</f>
        <v/>
      </c>
      <c r="E303" s="69" t="str">
        <f aca="false">IFERROR(IF(Análisis!$K$65="🟡 CRÍTICO",Análisis!E65,""),"—")</f>
        <v/>
      </c>
      <c r="F303" s="70" t="str">
        <f aca="false">IFERROR(IF(Análisis!$K$65="🟡 CRÍTICO",Análisis!F65,""),"—")</f>
        <v/>
      </c>
      <c r="G303" s="67" t="str">
        <f aca="false">IFERROR(IF(Análisis!$K$65="🟡 CRÍTICO",Análisis!I65,""),"—")</f>
        <v/>
      </c>
      <c r="H303" s="67" t="str">
        <f aca="false">IFERROR(IF(Análisis!$K$65="🟡 CRÍTICO",Análisis!M65,""),"—")</f>
        <v/>
      </c>
      <c r="I303" s="71" t="str">
        <f aca="false">IFERROR(IF(Análisis!$K$65="🟡 CRÍTICO",Análisis!H65,""),"—")</f>
        <v/>
      </c>
      <c r="J303" s="67" t="str">
        <f aca="false">IFERROR(IF(Análisis!$K$65="🟡 CRÍTICO",Análisis!O65,""),"—")</f>
        <v/>
      </c>
    </row>
    <row r="304" customFormat="false" ht="15.75" hidden="false" customHeight="true" outlineLevel="0" collapsed="false">
      <c r="A304" s="67" t="str">
        <f aca="false">IFERROR(IF(Análisis!$K$66="🟡 CRÍTICO",Análisis!A66,""),"—")</f>
        <v/>
      </c>
      <c r="B304" s="68" t="str">
        <f aca="false">IFERROR(IF(Análisis!$K$66="🟡 CRÍTICO",Análisis!B66,""),"—")</f>
        <v/>
      </c>
      <c r="C304" s="67" t="str">
        <f aca="false">IFERROR(IF(Análisis!$K$66="🟡 CRÍTICO",Análisis!C66,""),"—")</f>
        <v/>
      </c>
      <c r="D304" s="67" t="str">
        <f aca="false">IFERROR(IF(Análisis!$K$66="🟡 CRÍTICO",Análisis!D66,""),"—")</f>
        <v/>
      </c>
      <c r="E304" s="69" t="str">
        <f aca="false">IFERROR(IF(Análisis!$K$66="🟡 CRÍTICO",Análisis!E66,""),"—")</f>
        <v/>
      </c>
      <c r="F304" s="70" t="str">
        <f aca="false">IFERROR(IF(Análisis!$K$66="🟡 CRÍTICO",Análisis!F66,""),"—")</f>
        <v/>
      </c>
      <c r="G304" s="67" t="str">
        <f aca="false">IFERROR(IF(Análisis!$K$66="🟡 CRÍTICO",Análisis!I66,""),"—")</f>
        <v/>
      </c>
      <c r="H304" s="67" t="str">
        <f aca="false">IFERROR(IF(Análisis!$K$66="🟡 CRÍTICO",Análisis!M66,""),"—")</f>
        <v/>
      </c>
      <c r="I304" s="71" t="str">
        <f aca="false">IFERROR(IF(Análisis!$K$66="🟡 CRÍTICO",Análisis!H66,""),"—")</f>
        <v/>
      </c>
      <c r="J304" s="67" t="str">
        <f aca="false">IFERROR(IF(Análisis!$K$66="🟡 CRÍTICO",Análisis!O66,""),"—")</f>
        <v/>
      </c>
    </row>
    <row r="305" customFormat="false" ht="15.75" hidden="false" customHeight="true" outlineLevel="0" collapsed="false">
      <c r="A305" s="67" t="str">
        <f aca="false">IFERROR(IF(Análisis!$K$67="🟡 CRÍTICO",Análisis!A67,""),"—")</f>
        <v/>
      </c>
      <c r="B305" s="68" t="str">
        <f aca="false">IFERROR(IF(Análisis!$K$67="🟡 CRÍTICO",Análisis!B67,""),"—")</f>
        <v/>
      </c>
      <c r="C305" s="67" t="str">
        <f aca="false">IFERROR(IF(Análisis!$K$67="🟡 CRÍTICO",Análisis!C67,""),"—")</f>
        <v/>
      </c>
      <c r="D305" s="67" t="str">
        <f aca="false">IFERROR(IF(Análisis!$K$67="🟡 CRÍTICO",Análisis!D67,""),"—")</f>
        <v/>
      </c>
      <c r="E305" s="69" t="str">
        <f aca="false">IFERROR(IF(Análisis!$K$67="🟡 CRÍTICO",Análisis!E67,""),"—")</f>
        <v/>
      </c>
      <c r="F305" s="70" t="str">
        <f aca="false">IFERROR(IF(Análisis!$K$67="🟡 CRÍTICO",Análisis!F67,""),"—")</f>
        <v/>
      </c>
      <c r="G305" s="67" t="str">
        <f aca="false">IFERROR(IF(Análisis!$K$67="🟡 CRÍTICO",Análisis!I67,""),"—")</f>
        <v/>
      </c>
      <c r="H305" s="67" t="str">
        <f aca="false">IFERROR(IF(Análisis!$K$67="🟡 CRÍTICO",Análisis!M67,""),"—")</f>
        <v/>
      </c>
      <c r="I305" s="71" t="str">
        <f aca="false">IFERROR(IF(Análisis!$K$67="🟡 CRÍTICO",Análisis!H67,""),"—")</f>
        <v/>
      </c>
      <c r="J305" s="67" t="str">
        <f aca="false">IFERROR(IF(Análisis!$K$67="🟡 CRÍTICO",Análisis!O67,""),"—")</f>
        <v/>
      </c>
    </row>
    <row r="306" customFormat="false" ht="15.75" hidden="false" customHeight="true" outlineLevel="0" collapsed="false">
      <c r="A306" s="67" t="str">
        <f aca="false">IFERROR(IF(Análisis!$K$68="🟡 CRÍTICO",Análisis!A68,""),"—")</f>
        <v/>
      </c>
      <c r="B306" s="68" t="str">
        <f aca="false">IFERROR(IF(Análisis!$K$68="🟡 CRÍTICO",Análisis!B68,""),"—")</f>
        <v/>
      </c>
      <c r="C306" s="67" t="str">
        <f aca="false">IFERROR(IF(Análisis!$K$68="🟡 CRÍTICO",Análisis!C68,""),"—")</f>
        <v/>
      </c>
      <c r="D306" s="67" t="str">
        <f aca="false">IFERROR(IF(Análisis!$K$68="🟡 CRÍTICO",Análisis!D68,""),"—")</f>
        <v/>
      </c>
      <c r="E306" s="69" t="str">
        <f aca="false">IFERROR(IF(Análisis!$K$68="🟡 CRÍTICO",Análisis!E68,""),"—")</f>
        <v/>
      </c>
      <c r="F306" s="70" t="str">
        <f aca="false">IFERROR(IF(Análisis!$K$68="🟡 CRÍTICO",Análisis!F68,""),"—")</f>
        <v/>
      </c>
      <c r="G306" s="67" t="str">
        <f aca="false">IFERROR(IF(Análisis!$K$68="🟡 CRÍTICO",Análisis!I68,""),"—")</f>
        <v/>
      </c>
      <c r="H306" s="67" t="str">
        <f aca="false">IFERROR(IF(Análisis!$K$68="🟡 CRÍTICO",Análisis!M68,""),"—")</f>
        <v/>
      </c>
      <c r="I306" s="71" t="str">
        <f aca="false">IFERROR(IF(Análisis!$K$68="🟡 CRÍTICO",Análisis!H68,""),"—")</f>
        <v/>
      </c>
      <c r="J306" s="67" t="str">
        <f aca="false">IFERROR(IF(Análisis!$K$68="🟡 CRÍTICO",Análisis!O68,""),"—")</f>
        <v/>
      </c>
    </row>
    <row r="307" customFormat="false" ht="15.75" hidden="false" customHeight="true" outlineLevel="0" collapsed="false">
      <c r="A307" s="67" t="str">
        <f aca="false">IFERROR(IF(Análisis!$K$69="🟡 CRÍTICO",Análisis!A69,""),"—")</f>
        <v/>
      </c>
      <c r="B307" s="68" t="str">
        <f aca="false">IFERROR(IF(Análisis!$K$69="🟡 CRÍTICO",Análisis!B69,""),"—")</f>
        <v/>
      </c>
      <c r="C307" s="67" t="str">
        <f aca="false">IFERROR(IF(Análisis!$K$69="🟡 CRÍTICO",Análisis!C69,""),"—")</f>
        <v/>
      </c>
      <c r="D307" s="67" t="str">
        <f aca="false">IFERROR(IF(Análisis!$K$69="🟡 CRÍTICO",Análisis!D69,""),"—")</f>
        <v/>
      </c>
      <c r="E307" s="69" t="str">
        <f aca="false">IFERROR(IF(Análisis!$K$69="🟡 CRÍTICO",Análisis!E69,""),"—")</f>
        <v/>
      </c>
      <c r="F307" s="70" t="str">
        <f aca="false">IFERROR(IF(Análisis!$K$69="🟡 CRÍTICO",Análisis!F69,""),"—")</f>
        <v/>
      </c>
      <c r="G307" s="67" t="str">
        <f aca="false">IFERROR(IF(Análisis!$K$69="🟡 CRÍTICO",Análisis!I69,""),"—")</f>
        <v/>
      </c>
      <c r="H307" s="67" t="str">
        <f aca="false">IFERROR(IF(Análisis!$K$69="🟡 CRÍTICO",Análisis!M69,""),"—")</f>
        <v/>
      </c>
      <c r="I307" s="71" t="str">
        <f aca="false">IFERROR(IF(Análisis!$K$69="🟡 CRÍTICO",Análisis!H69,""),"—")</f>
        <v/>
      </c>
      <c r="J307" s="67" t="str">
        <f aca="false">IFERROR(IF(Análisis!$K$69="🟡 CRÍTICO",Análisis!O69,""),"—")</f>
        <v/>
      </c>
    </row>
    <row r="308" customFormat="false" ht="15.75" hidden="false" customHeight="true" outlineLevel="0" collapsed="false">
      <c r="A308" s="67" t="str">
        <f aca="false">IFERROR(IF(Análisis!$K$70="🟡 CRÍTICO",Análisis!A70,""),"—")</f>
        <v/>
      </c>
      <c r="B308" s="68" t="str">
        <f aca="false">IFERROR(IF(Análisis!$K$70="🟡 CRÍTICO",Análisis!B70,""),"—")</f>
        <v/>
      </c>
      <c r="C308" s="67" t="str">
        <f aca="false">IFERROR(IF(Análisis!$K$70="🟡 CRÍTICO",Análisis!C70,""),"—")</f>
        <v/>
      </c>
      <c r="D308" s="67" t="str">
        <f aca="false">IFERROR(IF(Análisis!$K$70="🟡 CRÍTICO",Análisis!D70,""),"—")</f>
        <v/>
      </c>
      <c r="E308" s="69" t="str">
        <f aca="false">IFERROR(IF(Análisis!$K$70="🟡 CRÍTICO",Análisis!E70,""),"—")</f>
        <v/>
      </c>
      <c r="F308" s="70" t="str">
        <f aca="false">IFERROR(IF(Análisis!$K$70="🟡 CRÍTICO",Análisis!F70,""),"—")</f>
        <v/>
      </c>
      <c r="G308" s="67" t="str">
        <f aca="false">IFERROR(IF(Análisis!$K$70="🟡 CRÍTICO",Análisis!I70,""),"—")</f>
        <v/>
      </c>
      <c r="H308" s="67" t="str">
        <f aca="false">IFERROR(IF(Análisis!$K$70="🟡 CRÍTICO",Análisis!M70,""),"—")</f>
        <v/>
      </c>
      <c r="I308" s="71" t="str">
        <f aca="false">IFERROR(IF(Análisis!$K$70="🟡 CRÍTICO",Análisis!H70,""),"—")</f>
        <v/>
      </c>
      <c r="J308" s="67" t="str">
        <f aca="false">IFERROR(IF(Análisis!$K$70="🟡 CRÍTICO",Análisis!O70,""),"—")</f>
        <v/>
      </c>
    </row>
    <row r="309" customFormat="false" ht="15.75" hidden="false" customHeight="true" outlineLevel="0" collapsed="false">
      <c r="A309" s="67" t="str">
        <f aca="false">IFERROR(IF(Análisis!$K$71="🟡 CRÍTICO",Análisis!A71,""),"—")</f>
        <v/>
      </c>
      <c r="B309" s="68" t="str">
        <f aca="false">IFERROR(IF(Análisis!$K$71="🟡 CRÍTICO",Análisis!B71,""),"—")</f>
        <v/>
      </c>
      <c r="C309" s="67" t="str">
        <f aca="false">IFERROR(IF(Análisis!$K$71="🟡 CRÍTICO",Análisis!C71,""),"—")</f>
        <v/>
      </c>
      <c r="D309" s="67" t="str">
        <f aca="false">IFERROR(IF(Análisis!$K$71="🟡 CRÍTICO",Análisis!D71,""),"—")</f>
        <v/>
      </c>
      <c r="E309" s="69" t="str">
        <f aca="false">IFERROR(IF(Análisis!$K$71="🟡 CRÍTICO",Análisis!E71,""),"—")</f>
        <v/>
      </c>
      <c r="F309" s="70" t="str">
        <f aca="false">IFERROR(IF(Análisis!$K$71="🟡 CRÍTICO",Análisis!F71,""),"—")</f>
        <v/>
      </c>
      <c r="G309" s="67" t="str">
        <f aca="false">IFERROR(IF(Análisis!$K$71="🟡 CRÍTICO",Análisis!I71,""),"—")</f>
        <v/>
      </c>
      <c r="H309" s="67" t="str">
        <f aca="false">IFERROR(IF(Análisis!$K$71="🟡 CRÍTICO",Análisis!M71,""),"—")</f>
        <v/>
      </c>
      <c r="I309" s="71" t="str">
        <f aca="false">IFERROR(IF(Análisis!$K$71="🟡 CRÍTICO",Análisis!H71,""),"—")</f>
        <v/>
      </c>
      <c r="J309" s="67" t="str">
        <f aca="false">IFERROR(IF(Análisis!$K$71="🟡 CRÍTICO",Análisis!O71,""),"—")</f>
        <v/>
      </c>
    </row>
    <row r="310" customFormat="false" ht="15.75" hidden="false" customHeight="true" outlineLevel="0" collapsed="false">
      <c r="A310" s="67" t="str">
        <f aca="false">IFERROR(IF(Análisis!$K$72="🟡 CRÍTICO",Análisis!A72,""),"—")</f>
        <v/>
      </c>
      <c r="B310" s="68" t="str">
        <f aca="false">IFERROR(IF(Análisis!$K$72="🟡 CRÍTICO",Análisis!B72,""),"—")</f>
        <v/>
      </c>
      <c r="C310" s="67" t="str">
        <f aca="false">IFERROR(IF(Análisis!$K$72="🟡 CRÍTICO",Análisis!C72,""),"—")</f>
        <v/>
      </c>
      <c r="D310" s="67" t="str">
        <f aca="false">IFERROR(IF(Análisis!$K$72="🟡 CRÍTICO",Análisis!D72,""),"—")</f>
        <v/>
      </c>
      <c r="E310" s="69" t="str">
        <f aca="false">IFERROR(IF(Análisis!$K$72="🟡 CRÍTICO",Análisis!E72,""),"—")</f>
        <v/>
      </c>
      <c r="F310" s="70" t="str">
        <f aca="false">IFERROR(IF(Análisis!$K$72="🟡 CRÍTICO",Análisis!F72,""),"—")</f>
        <v/>
      </c>
      <c r="G310" s="67" t="str">
        <f aca="false">IFERROR(IF(Análisis!$K$72="🟡 CRÍTICO",Análisis!I72,""),"—")</f>
        <v/>
      </c>
      <c r="H310" s="67" t="str">
        <f aca="false">IFERROR(IF(Análisis!$K$72="🟡 CRÍTICO",Análisis!M72,""),"—")</f>
        <v/>
      </c>
      <c r="I310" s="71" t="str">
        <f aca="false">IFERROR(IF(Análisis!$K$72="🟡 CRÍTICO",Análisis!H72,""),"—")</f>
        <v/>
      </c>
      <c r="J310" s="67" t="str">
        <f aca="false">IFERROR(IF(Análisis!$K$72="🟡 CRÍTICO",Análisis!O72,""),"—")</f>
        <v/>
      </c>
    </row>
    <row r="311" customFormat="false" ht="15.75" hidden="false" customHeight="true" outlineLevel="0" collapsed="false">
      <c r="A311" s="67" t="str">
        <f aca="false">IFERROR(IF(Análisis!$K$73="🟡 CRÍTICO",Análisis!A73,""),"—")</f>
        <v/>
      </c>
      <c r="B311" s="68" t="str">
        <f aca="false">IFERROR(IF(Análisis!$K$73="🟡 CRÍTICO",Análisis!B73,""),"—")</f>
        <v/>
      </c>
      <c r="C311" s="67" t="str">
        <f aca="false">IFERROR(IF(Análisis!$K$73="🟡 CRÍTICO",Análisis!C73,""),"—")</f>
        <v/>
      </c>
      <c r="D311" s="67" t="str">
        <f aca="false">IFERROR(IF(Análisis!$K$73="🟡 CRÍTICO",Análisis!D73,""),"—")</f>
        <v/>
      </c>
      <c r="E311" s="69" t="str">
        <f aca="false">IFERROR(IF(Análisis!$K$73="🟡 CRÍTICO",Análisis!E73,""),"—")</f>
        <v/>
      </c>
      <c r="F311" s="70" t="str">
        <f aca="false">IFERROR(IF(Análisis!$K$73="🟡 CRÍTICO",Análisis!F73,""),"—")</f>
        <v/>
      </c>
      <c r="G311" s="67" t="str">
        <f aca="false">IFERROR(IF(Análisis!$K$73="🟡 CRÍTICO",Análisis!I73,""),"—")</f>
        <v/>
      </c>
      <c r="H311" s="67" t="str">
        <f aca="false">IFERROR(IF(Análisis!$K$73="🟡 CRÍTICO",Análisis!M73,""),"—")</f>
        <v/>
      </c>
      <c r="I311" s="71" t="str">
        <f aca="false">IFERROR(IF(Análisis!$K$73="🟡 CRÍTICO",Análisis!H73,""),"—")</f>
        <v/>
      </c>
      <c r="J311" s="67" t="str">
        <f aca="false">IFERROR(IF(Análisis!$K$73="🟡 CRÍTICO",Análisis!O73,""),"—")</f>
        <v/>
      </c>
    </row>
    <row r="312" customFormat="false" ht="15.75" hidden="false" customHeight="true" outlineLevel="0" collapsed="false">
      <c r="A312" s="67" t="str">
        <f aca="false">IFERROR(IF(Análisis!$K$74="🟡 CRÍTICO",Análisis!A74,""),"—")</f>
        <v/>
      </c>
      <c r="B312" s="68" t="str">
        <f aca="false">IFERROR(IF(Análisis!$K$74="🟡 CRÍTICO",Análisis!B74,""),"—")</f>
        <v/>
      </c>
      <c r="C312" s="67" t="str">
        <f aca="false">IFERROR(IF(Análisis!$K$74="🟡 CRÍTICO",Análisis!C74,""),"—")</f>
        <v/>
      </c>
      <c r="D312" s="67" t="str">
        <f aca="false">IFERROR(IF(Análisis!$K$74="🟡 CRÍTICO",Análisis!D74,""),"—")</f>
        <v/>
      </c>
      <c r="E312" s="69" t="str">
        <f aca="false">IFERROR(IF(Análisis!$K$74="🟡 CRÍTICO",Análisis!E74,""),"—")</f>
        <v/>
      </c>
      <c r="F312" s="70" t="str">
        <f aca="false">IFERROR(IF(Análisis!$K$74="🟡 CRÍTICO",Análisis!F74,""),"—")</f>
        <v/>
      </c>
      <c r="G312" s="67" t="str">
        <f aca="false">IFERROR(IF(Análisis!$K$74="🟡 CRÍTICO",Análisis!I74,""),"—")</f>
        <v/>
      </c>
      <c r="H312" s="67" t="str">
        <f aca="false">IFERROR(IF(Análisis!$K$74="🟡 CRÍTICO",Análisis!M74,""),"—")</f>
        <v/>
      </c>
      <c r="I312" s="71" t="str">
        <f aca="false">IFERROR(IF(Análisis!$K$74="🟡 CRÍTICO",Análisis!H74,""),"—")</f>
        <v/>
      </c>
      <c r="J312" s="67" t="str">
        <f aca="false">IFERROR(IF(Análisis!$K$74="🟡 CRÍTICO",Análisis!O74,""),"—")</f>
        <v/>
      </c>
    </row>
    <row r="313" customFormat="false" ht="15.75" hidden="false" customHeight="true" outlineLevel="0" collapsed="false">
      <c r="A313" s="67" t="str">
        <f aca="false">IFERROR(IF(Análisis!$K$75="🟡 CRÍTICO",Análisis!A75,""),"—")</f>
        <v/>
      </c>
      <c r="B313" s="68" t="str">
        <f aca="false">IFERROR(IF(Análisis!$K$75="🟡 CRÍTICO",Análisis!B75,""),"—")</f>
        <v/>
      </c>
      <c r="C313" s="67" t="str">
        <f aca="false">IFERROR(IF(Análisis!$K$75="🟡 CRÍTICO",Análisis!C75,""),"—")</f>
        <v/>
      </c>
      <c r="D313" s="67" t="str">
        <f aca="false">IFERROR(IF(Análisis!$K$75="🟡 CRÍTICO",Análisis!D75,""),"—")</f>
        <v/>
      </c>
      <c r="E313" s="69" t="str">
        <f aca="false">IFERROR(IF(Análisis!$K$75="🟡 CRÍTICO",Análisis!E75,""),"—")</f>
        <v/>
      </c>
      <c r="F313" s="70" t="str">
        <f aca="false">IFERROR(IF(Análisis!$K$75="🟡 CRÍTICO",Análisis!F75,""),"—")</f>
        <v/>
      </c>
      <c r="G313" s="67" t="str">
        <f aca="false">IFERROR(IF(Análisis!$K$75="🟡 CRÍTICO",Análisis!I75,""),"—")</f>
        <v/>
      </c>
      <c r="H313" s="67" t="str">
        <f aca="false">IFERROR(IF(Análisis!$K$75="🟡 CRÍTICO",Análisis!M75,""),"—")</f>
        <v/>
      </c>
      <c r="I313" s="71" t="str">
        <f aca="false">IFERROR(IF(Análisis!$K$75="🟡 CRÍTICO",Análisis!H75,""),"—")</f>
        <v/>
      </c>
      <c r="J313" s="67" t="str">
        <f aca="false">IFERROR(IF(Análisis!$K$75="🟡 CRÍTICO",Análisis!O75,""),"—")</f>
        <v/>
      </c>
    </row>
    <row r="314" customFormat="false" ht="15.75" hidden="false" customHeight="true" outlineLevel="0" collapsed="false">
      <c r="A314" s="67" t="str">
        <f aca="false">IFERROR(IF(Análisis!$K$76="🟡 CRÍTICO",Análisis!A76,""),"—")</f>
        <v/>
      </c>
      <c r="B314" s="68" t="str">
        <f aca="false">IFERROR(IF(Análisis!$K$76="🟡 CRÍTICO",Análisis!B76,""),"—")</f>
        <v/>
      </c>
      <c r="C314" s="67" t="str">
        <f aca="false">IFERROR(IF(Análisis!$K$76="🟡 CRÍTICO",Análisis!C76,""),"—")</f>
        <v/>
      </c>
      <c r="D314" s="67" t="str">
        <f aca="false">IFERROR(IF(Análisis!$K$76="🟡 CRÍTICO",Análisis!D76,""),"—")</f>
        <v/>
      </c>
      <c r="E314" s="69" t="str">
        <f aca="false">IFERROR(IF(Análisis!$K$76="🟡 CRÍTICO",Análisis!E76,""),"—")</f>
        <v/>
      </c>
      <c r="F314" s="70" t="str">
        <f aca="false">IFERROR(IF(Análisis!$K$76="🟡 CRÍTICO",Análisis!F76,""),"—")</f>
        <v/>
      </c>
      <c r="G314" s="67" t="str">
        <f aca="false">IFERROR(IF(Análisis!$K$76="🟡 CRÍTICO",Análisis!I76,""),"—")</f>
        <v/>
      </c>
      <c r="H314" s="67" t="str">
        <f aca="false">IFERROR(IF(Análisis!$K$76="🟡 CRÍTICO",Análisis!M76,""),"—")</f>
        <v/>
      </c>
      <c r="I314" s="71" t="str">
        <f aca="false">IFERROR(IF(Análisis!$K$76="🟡 CRÍTICO",Análisis!H76,""),"—")</f>
        <v/>
      </c>
      <c r="J314" s="67" t="str">
        <f aca="false">IFERROR(IF(Análisis!$K$76="🟡 CRÍTICO",Análisis!O76,""),"—")</f>
        <v/>
      </c>
    </row>
    <row r="315" customFormat="false" ht="15.75" hidden="false" customHeight="true" outlineLevel="0" collapsed="false">
      <c r="A315" s="67" t="str">
        <f aca="false">IFERROR(IF(Análisis!$K$77="🟡 CRÍTICO",Análisis!A77,""),"—")</f>
        <v/>
      </c>
      <c r="B315" s="68" t="str">
        <f aca="false">IFERROR(IF(Análisis!$K$77="🟡 CRÍTICO",Análisis!B77,""),"—")</f>
        <v/>
      </c>
      <c r="C315" s="67" t="str">
        <f aca="false">IFERROR(IF(Análisis!$K$77="🟡 CRÍTICO",Análisis!C77,""),"—")</f>
        <v/>
      </c>
      <c r="D315" s="67" t="str">
        <f aca="false">IFERROR(IF(Análisis!$K$77="🟡 CRÍTICO",Análisis!D77,""),"—")</f>
        <v/>
      </c>
      <c r="E315" s="69" t="str">
        <f aca="false">IFERROR(IF(Análisis!$K$77="🟡 CRÍTICO",Análisis!E77,""),"—")</f>
        <v/>
      </c>
      <c r="F315" s="70" t="str">
        <f aca="false">IFERROR(IF(Análisis!$K$77="🟡 CRÍTICO",Análisis!F77,""),"—")</f>
        <v/>
      </c>
      <c r="G315" s="67" t="str">
        <f aca="false">IFERROR(IF(Análisis!$K$77="🟡 CRÍTICO",Análisis!I77,""),"—")</f>
        <v/>
      </c>
      <c r="H315" s="67" t="str">
        <f aca="false">IFERROR(IF(Análisis!$K$77="🟡 CRÍTICO",Análisis!M77,""),"—")</f>
        <v/>
      </c>
      <c r="I315" s="71" t="str">
        <f aca="false">IFERROR(IF(Análisis!$K$77="🟡 CRÍTICO",Análisis!H77,""),"—")</f>
        <v/>
      </c>
      <c r="J315" s="67" t="str">
        <f aca="false">IFERROR(IF(Análisis!$K$77="🟡 CRÍTICO",Análisis!O77,""),"—")</f>
        <v/>
      </c>
    </row>
    <row r="316" customFormat="false" ht="15.75" hidden="false" customHeight="true" outlineLevel="0" collapsed="false">
      <c r="A316" s="67" t="str">
        <f aca="false">IFERROR(IF(Análisis!$K$78="🟡 CRÍTICO",Análisis!A78,""),"—")</f>
        <v/>
      </c>
      <c r="B316" s="68" t="str">
        <f aca="false">IFERROR(IF(Análisis!$K$78="🟡 CRÍTICO",Análisis!B78,""),"—")</f>
        <v/>
      </c>
      <c r="C316" s="67" t="str">
        <f aca="false">IFERROR(IF(Análisis!$K$78="🟡 CRÍTICO",Análisis!C78,""),"—")</f>
        <v/>
      </c>
      <c r="D316" s="67" t="str">
        <f aca="false">IFERROR(IF(Análisis!$K$78="🟡 CRÍTICO",Análisis!D78,""),"—")</f>
        <v/>
      </c>
      <c r="E316" s="69" t="str">
        <f aca="false">IFERROR(IF(Análisis!$K$78="🟡 CRÍTICO",Análisis!E78,""),"—")</f>
        <v/>
      </c>
      <c r="F316" s="70" t="str">
        <f aca="false">IFERROR(IF(Análisis!$K$78="🟡 CRÍTICO",Análisis!F78,""),"—")</f>
        <v/>
      </c>
      <c r="G316" s="67" t="str">
        <f aca="false">IFERROR(IF(Análisis!$K$78="🟡 CRÍTICO",Análisis!I78,""),"—")</f>
        <v/>
      </c>
      <c r="H316" s="67" t="str">
        <f aca="false">IFERROR(IF(Análisis!$K$78="🟡 CRÍTICO",Análisis!M78,""),"—")</f>
        <v/>
      </c>
      <c r="I316" s="71" t="str">
        <f aca="false">IFERROR(IF(Análisis!$K$78="🟡 CRÍTICO",Análisis!H78,""),"—")</f>
        <v/>
      </c>
      <c r="J316" s="67" t="str">
        <f aca="false">IFERROR(IF(Análisis!$K$78="🟡 CRÍTICO",Análisis!O78,""),"—")</f>
        <v/>
      </c>
    </row>
    <row r="317" customFormat="false" ht="15.75" hidden="false" customHeight="true" outlineLevel="0" collapsed="false">
      <c r="A317" s="67" t="str">
        <f aca="false">IFERROR(IF(Análisis!$K$79="🟡 CRÍTICO",Análisis!A79,""),"—")</f>
        <v/>
      </c>
      <c r="B317" s="68" t="str">
        <f aca="false">IFERROR(IF(Análisis!$K$79="🟡 CRÍTICO",Análisis!B79,""),"—")</f>
        <v/>
      </c>
      <c r="C317" s="67" t="str">
        <f aca="false">IFERROR(IF(Análisis!$K$79="🟡 CRÍTICO",Análisis!C79,""),"—")</f>
        <v/>
      </c>
      <c r="D317" s="67" t="str">
        <f aca="false">IFERROR(IF(Análisis!$K$79="🟡 CRÍTICO",Análisis!D79,""),"—")</f>
        <v/>
      </c>
      <c r="E317" s="69" t="str">
        <f aca="false">IFERROR(IF(Análisis!$K$79="🟡 CRÍTICO",Análisis!E79,""),"—")</f>
        <v/>
      </c>
      <c r="F317" s="70" t="str">
        <f aca="false">IFERROR(IF(Análisis!$K$79="🟡 CRÍTICO",Análisis!F79,""),"—")</f>
        <v/>
      </c>
      <c r="G317" s="67" t="str">
        <f aca="false">IFERROR(IF(Análisis!$K$79="🟡 CRÍTICO",Análisis!I79,""),"—")</f>
        <v/>
      </c>
      <c r="H317" s="67" t="str">
        <f aca="false">IFERROR(IF(Análisis!$K$79="🟡 CRÍTICO",Análisis!M79,""),"—")</f>
        <v/>
      </c>
      <c r="I317" s="71" t="str">
        <f aca="false">IFERROR(IF(Análisis!$K$79="🟡 CRÍTICO",Análisis!H79,""),"—")</f>
        <v/>
      </c>
      <c r="J317" s="67" t="str">
        <f aca="false">IFERROR(IF(Análisis!$K$79="🟡 CRÍTICO",Análisis!O79,""),"—")</f>
        <v/>
      </c>
    </row>
  </sheetData>
  <mergeCells count="6">
    <mergeCell ref="A1:J1"/>
    <mergeCell ref="A2:J2"/>
    <mergeCell ref="A4:J4"/>
    <mergeCell ref="A83:J83"/>
    <mergeCell ref="A162:J162"/>
    <mergeCell ref="A241:J241"/>
  </mergeCells>
  <conditionalFormatting sqref="A6:J80">
    <cfRule type="expression" priority="2" aboveAverage="0" equalAverage="0" bottom="0" percent="0" rank="0" text="" dxfId="94">
      <formula>$A6&lt;&gt;""</formula>
    </cfRule>
  </conditionalFormatting>
  <conditionalFormatting sqref="A85:J159">
    <cfRule type="expression" priority="3" aboveAverage="0" equalAverage="0" bottom="0" percent="0" rank="0" text="" dxfId="95">
      <formula>$A85&lt;&gt;""</formula>
    </cfRule>
  </conditionalFormatting>
  <conditionalFormatting sqref="A164:J238">
    <cfRule type="expression" priority="4" aboveAverage="0" equalAverage="0" bottom="0" percent="0" rank="0" text="" dxfId="95">
      <formula>$A164&lt;&gt;""</formula>
    </cfRule>
  </conditionalFormatting>
  <conditionalFormatting sqref="A243:J317">
    <cfRule type="expression" priority="5" aboveAverage="0" equalAverage="0" bottom="0" percent="0" rank="0" text="" dxfId="94">
      <formula>$A243&lt;&gt;""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5" min="2" style="1" width="14"/>
    <col collapsed="false" customWidth="true" hidden="false" outlineLevel="0" max="6" min="6" style="1" width="2"/>
    <col collapsed="false" customWidth="true" hidden="false" outlineLevel="0" max="10" min="7" style="1" width="14"/>
    <col collapsed="false" customWidth="true" hidden="false" outlineLevel="0" max="11" min="11" style="1" width="2"/>
    <col collapsed="false" customWidth="true" hidden="false" outlineLevel="0" max="15" min="12" style="1" width="14"/>
    <col collapsed="false" customWidth="true" hidden="false" outlineLevel="0" max="16" min="16" style="1" width="2"/>
  </cols>
  <sheetData>
    <row r="1" customFormat="false" ht="7.5" hidden="false" customHeight="true" outlineLevel="0" collapsed="false">
      <c r="A1" s="75" t="s">
        <v>287</v>
      </c>
      <c r="R1" s="1" t="s">
        <v>288</v>
      </c>
      <c r="S1" s="1" t="s">
        <v>289</v>
      </c>
    </row>
    <row r="2" customFormat="false" ht="36" hidden="false" customHeight="true" outlineLevel="0" collapsed="false">
      <c r="B2" s="76" t="s">
        <v>290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R2" s="1" t="s">
        <v>291</v>
      </c>
      <c r="S2" s="1" t="n">
        <f aca="false">COUNTIF(Análisis!K5:K79,"🟢 NORMAL")</f>
        <v>49</v>
      </c>
    </row>
    <row r="3" customFormat="false" ht="18" hidden="false" customHeight="true" outlineLevel="0" collapsed="false">
      <c r="B3" s="77" t="s">
        <v>292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R3" s="1" t="s">
        <v>293</v>
      </c>
      <c r="S3" s="1" t="n">
        <f aca="false">COUNTIF(Análisis!K5:K79,"🔴 QUIEBRE")</f>
        <v>7</v>
      </c>
    </row>
    <row r="4" customFormat="false" ht="9.75" hidden="false" customHeight="true" outlineLevel="0" collapsed="false">
      <c r="R4" s="1" t="s">
        <v>294</v>
      </c>
      <c r="S4" s="1" t="n">
        <f aca="false">COUNTIF(Análisis!K5:K79,"🔴 STOCK MUERTO")</f>
        <v>12</v>
      </c>
    </row>
    <row r="5" customFormat="false" ht="13.5" hidden="false" customHeight="true" outlineLevel="0" collapsed="false">
      <c r="B5" s="78" t="s">
        <v>295</v>
      </c>
      <c r="C5" s="78"/>
      <c r="D5" s="78"/>
      <c r="E5" s="78"/>
      <c r="G5" s="78" t="s">
        <v>296</v>
      </c>
      <c r="H5" s="78"/>
      <c r="I5" s="78"/>
      <c r="J5" s="78"/>
      <c r="L5" s="78" t="s">
        <v>297</v>
      </c>
      <c r="M5" s="78"/>
      <c r="N5" s="78"/>
      <c r="O5" s="78"/>
      <c r="R5" s="1" t="s">
        <v>298</v>
      </c>
      <c r="S5" s="1" t="n">
        <f aca="false">COUNTIF(Análisis!K5:K79,"🟡 SOBRESTOCK")</f>
        <v>6</v>
      </c>
    </row>
    <row r="6" customFormat="false" ht="30" hidden="false" customHeight="true" outlineLevel="0" collapsed="false">
      <c r="B6" s="79" t="n">
        <f aca="false">SUM(Análisis!H5:H79)</f>
        <v>64825.2</v>
      </c>
      <c r="C6" s="79"/>
      <c r="D6" s="79"/>
      <c r="E6" s="79"/>
      <c r="G6" s="80" t="n">
        <f aca="false">SUMIF(Análisis!K5:K79,"🔴 STOCK MUERTO",Análisis!H5:H79)</f>
        <v>22472.7</v>
      </c>
      <c r="H6" s="80"/>
      <c r="I6" s="80"/>
      <c r="J6" s="80"/>
      <c r="L6" s="81" t="n">
        <f aca="false">COUNTIF(Análisis!K5:K79,"🟢 NORMAL")</f>
        <v>49</v>
      </c>
      <c r="M6" s="81"/>
      <c r="N6" s="81"/>
      <c r="O6" s="81"/>
      <c r="R6" s="1" t="s">
        <v>299</v>
      </c>
      <c r="S6" s="1" t="n">
        <f aca="false">COUNTIF(Análisis!K5:K79,"🟡 CRÍTICO")</f>
        <v>1</v>
      </c>
    </row>
    <row r="7" customFormat="false" ht="15.75" hidden="false" customHeight="true" outlineLevel="0" collapsed="false">
      <c r="B7" s="82" t="s">
        <v>300</v>
      </c>
      <c r="C7" s="82"/>
      <c r="D7" s="82"/>
      <c r="E7" s="82"/>
      <c r="G7" s="83" t="s">
        <v>301</v>
      </c>
      <c r="H7" s="83"/>
      <c r="I7" s="83"/>
      <c r="J7" s="83"/>
      <c r="L7" s="84" t="s">
        <v>302</v>
      </c>
      <c r="M7" s="84"/>
      <c r="N7" s="84"/>
      <c r="O7" s="84"/>
    </row>
    <row r="8" customFormat="false" ht="15.75" hidden="false" customHeight="true" outlineLevel="0" collapsed="false">
      <c r="B8" s="85" t="s">
        <v>303</v>
      </c>
      <c r="C8" s="85"/>
      <c r="D8" s="85"/>
      <c r="E8" s="85"/>
      <c r="G8" s="86" t="s">
        <v>304</v>
      </c>
      <c r="H8" s="86"/>
      <c r="I8" s="86"/>
      <c r="J8" s="86"/>
      <c r="L8" s="87" t="s">
        <v>305</v>
      </c>
      <c r="M8" s="87"/>
      <c r="N8" s="87"/>
      <c r="O8" s="87"/>
      <c r="R8" s="1" t="s">
        <v>4</v>
      </c>
      <c r="S8" s="1" t="s">
        <v>306</v>
      </c>
    </row>
    <row r="9" customFormat="false" ht="9.75" hidden="false" customHeight="true" outlineLevel="0" collapsed="false">
      <c r="R9" s="1" t="s">
        <v>24</v>
      </c>
      <c r="S9" s="1" t="n">
        <f aca="false">SUMIF(Análisis!C5:C79,"Alimentos Secos",Análisis!H5:H79)</f>
        <v>13815.4</v>
      </c>
    </row>
    <row r="10" customFormat="false" ht="18" hidden="false" customHeight="true" outlineLevel="0" collapsed="false">
      <c r="B10" s="88" t="s">
        <v>307</v>
      </c>
      <c r="C10" s="88"/>
      <c r="D10" s="88"/>
      <c r="E10" s="88"/>
      <c r="G10" s="88" t="s">
        <v>308</v>
      </c>
      <c r="H10" s="88"/>
      <c r="I10" s="88"/>
      <c r="J10" s="88"/>
      <c r="L10" s="88" t="s">
        <v>309</v>
      </c>
      <c r="M10" s="88"/>
      <c r="N10" s="88"/>
      <c r="O10" s="88"/>
      <c r="R10" s="1" t="s">
        <v>100</v>
      </c>
      <c r="S10" s="1" t="n">
        <f aca="false">SUMIF(Análisis!C5:C79,"Limpieza del Hogar",Análisis!H5:H79)</f>
        <v>25493</v>
      </c>
    </row>
    <row r="11" customFormat="false" ht="15" hidden="false" customHeight="true" outlineLevel="0" collapsed="false">
      <c r="R11" s="1" t="s">
        <v>174</v>
      </c>
      <c r="S11" s="1" t="n">
        <f aca="false">SUMIF(Análisis!C5:C79,"Higiene Personal",Análisis!H5:H79)</f>
        <v>25516.8</v>
      </c>
    </row>
    <row r="13" customFormat="false" ht="15" hidden="false" customHeight="true" outlineLevel="0" collapsed="false">
      <c r="R13" s="1" t="s">
        <v>310</v>
      </c>
      <c r="S13" s="1" t="s">
        <v>311</v>
      </c>
    </row>
    <row r="14" customFormat="false" ht="15" hidden="false" customHeight="true" outlineLevel="0" collapsed="false">
      <c r="R14" s="1" t="s">
        <v>312</v>
      </c>
      <c r="S14" s="1" t="n">
        <v>8141</v>
      </c>
    </row>
    <row r="15" customFormat="false" ht="15" hidden="false" customHeight="true" outlineLevel="0" collapsed="false">
      <c r="R15" s="1" t="s">
        <v>313</v>
      </c>
      <c r="S15" s="1" t="n">
        <v>8507</v>
      </c>
    </row>
    <row r="16" customFormat="false" ht="15" hidden="false" customHeight="true" outlineLevel="0" collapsed="false">
      <c r="R16" s="1" t="s">
        <v>314</v>
      </c>
      <c r="S16" s="1" t="n">
        <v>8406</v>
      </c>
    </row>
    <row r="17" customFormat="false" ht="15" hidden="false" customHeight="true" outlineLevel="0" collapsed="false">
      <c r="R17" s="1" t="s">
        <v>315</v>
      </c>
      <c r="S17" s="1" t="n">
        <v>7999</v>
      </c>
    </row>
    <row r="18" customFormat="false" ht="15" hidden="false" customHeight="true" outlineLevel="0" collapsed="false">
      <c r="R18" s="1" t="s">
        <v>316</v>
      </c>
      <c r="S18" s="1" t="n">
        <v>7879</v>
      </c>
    </row>
    <row r="19" customFormat="false" ht="15" hidden="false" customHeight="true" outlineLevel="0" collapsed="false">
      <c r="R19" s="1" t="s">
        <v>317</v>
      </c>
      <c r="S19" s="1" t="n">
        <v>8391</v>
      </c>
    </row>
    <row r="21" customFormat="false" ht="15" hidden="false" customHeight="true" outlineLevel="0" collapsed="false">
      <c r="R21" s="1" t="s">
        <v>318</v>
      </c>
      <c r="S21" s="1" t="s">
        <v>266</v>
      </c>
    </row>
    <row r="22" customFormat="false" ht="15" hidden="false" customHeight="true" outlineLevel="0" collapsed="false">
      <c r="R22" s="1" t="s">
        <v>319</v>
      </c>
      <c r="S22" s="1" t="n">
        <f aca="false">COUNTIF(Análisis!M5:M79,"A")</f>
        <v>15</v>
      </c>
    </row>
    <row r="23" customFormat="false" ht="15" hidden="false" customHeight="true" outlineLevel="0" collapsed="false">
      <c r="R23" s="1" t="s">
        <v>320</v>
      </c>
      <c r="S23" s="1" t="n">
        <f aca="false">COUNTIF(Análisis!M5:M79,"B")</f>
        <v>23</v>
      </c>
    </row>
    <row r="24" customFormat="false" ht="15" hidden="false" customHeight="true" outlineLevel="0" collapsed="false">
      <c r="R24" s="1" t="s">
        <v>321</v>
      </c>
      <c r="S24" s="1" t="n">
        <f aca="false">COUNTIF(Análisis!M5:M79,"C")</f>
        <v>37</v>
      </c>
    </row>
    <row r="25" customFormat="false" ht="18" hidden="false" customHeight="true" outlineLevel="0" collapsed="false">
      <c r="B25" s="88" t="s">
        <v>322</v>
      </c>
      <c r="C25" s="88"/>
      <c r="D25" s="88"/>
      <c r="E25" s="88"/>
      <c r="G25" s="88" t="s">
        <v>323</v>
      </c>
      <c r="H25" s="88"/>
      <c r="I25" s="88"/>
      <c r="J25" s="88"/>
      <c r="L25" s="88" t="s">
        <v>324</v>
      </c>
      <c r="M25" s="88"/>
      <c r="N25" s="88"/>
      <c r="O25" s="88"/>
    </row>
    <row r="26" customFormat="false" ht="18" hidden="false" customHeight="true" outlineLevel="0" collapsed="false">
      <c r="G26" s="89" t="s">
        <v>325</v>
      </c>
      <c r="H26" s="89" t="s">
        <v>326</v>
      </c>
      <c r="I26" s="89" t="s">
        <v>327</v>
      </c>
      <c r="J26" s="89" t="s">
        <v>328</v>
      </c>
      <c r="L26" s="89" t="s">
        <v>329</v>
      </c>
      <c r="M26" s="89" t="s">
        <v>330</v>
      </c>
      <c r="N26" s="89" t="s">
        <v>331</v>
      </c>
      <c r="O26" s="89" t="s">
        <v>332</v>
      </c>
      <c r="P26" s="89" t="s">
        <v>333</v>
      </c>
      <c r="R26" s="1" t="s">
        <v>329</v>
      </c>
      <c r="S26" s="1" t="s">
        <v>334</v>
      </c>
      <c r="T26" s="1" t="s">
        <v>335</v>
      </c>
    </row>
    <row r="27" customFormat="false" ht="16.5" hidden="false" customHeight="true" outlineLevel="0" collapsed="false">
      <c r="G27" s="90" t="n">
        <v>1</v>
      </c>
      <c r="H27" s="91" t="s">
        <v>115</v>
      </c>
      <c r="I27" s="92" t="s">
        <v>116</v>
      </c>
      <c r="J27" s="93" t="n">
        <v>6912</v>
      </c>
      <c r="L27" s="94" t="s">
        <v>336</v>
      </c>
      <c r="M27" s="95" t="s">
        <v>337</v>
      </c>
      <c r="N27" s="96" t="s">
        <v>338</v>
      </c>
      <c r="O27" s="97" t="s">
        <v>339</v>
      </c>
      <c r="P27" s="98" t="s">
        <v>340</v>
      </c>
      <c r="R27" s="1" t="s">
        <v>341</v>
      </c>
      <c r="S27" s="1" t="n">
        <v>0</v>
      </c>
      <c r="T27" s="1" t="n">
        <f aca="false">COUNTIF(Análisis!K5:K79,"🔴 QUIEBRE")</f>
        <v>7</v>
      </c>
    </row>
    <row r="28" customFormat="false" ht="16.5" hidden="false" customHeight="true" outlineLevel="0" collapsed="false">
      <c r="G28" s="90" t="n">
        <v>2</v>
      </c>
      <c r="H28" s="91" t="s">
        <v>65</v>
      </c>
      <c r="I28" s="92" t="s">
        <v>66</v>
      </c>
      <c r="J28" s="93" t="n">
        <v>3888</v>
      </c>
      <c r="L28" s="94" t="s">
        <v>272</v>
      </c>
      <c r="M28" s="99" t="s">
        <v>342</v>
      </c>
      <c r="N28" s="96" t="s">
        <v>343</v>
      </c>
      <c r="O28" s="97" t="s">
        <v>339</v>
      </c>
      <c r="P28" s="98" t="s">
        <v>344</v>
      </c>
      <c r="R28" s="1" t="s">
        <v>345</v>
      </c>
      <c r="S28" s="1" t="n">
        <v>0</v>
      </c>
      <c r="T28" s="1" t="n">
        <f aca="false">SUMIF(Análisis!K5:K79,"🔴 STOCK MUERTO",Análisis!H5:H79)</f>
        <v>22472.7</v>
      </c>
    </row>
    <row r="29" customFormat="false" ht="16.5" hidden="false" customHeight="true" outlineLevel="0" collapsed="false">
      <c r="G29" s="100" t="n">
        <v>3</v>
      </c>
      <c r="H29" s="101" t="s">
        <v>240</v>
      </c>
      <c r="I29" s="94" t="s">
        <v>346</v>
      </c>
      <c r="J29" s="102" t="n">
        <v>3362.5</v>
      </c>
      <c r="L29" s="94" t="s">
        <v>347</v>
      </c>
      <c r="M29" s="103" t="s">
        <v>348</v>
      </c>
      <c r="N29" s="104" t="s">
        <v>349</v>
      </c>
      <c r="O29" s="105" t="s">
        <v>350</v>
      </c>
      <c r="P29" s="106" t="s">
        <v>351</v>
      </c>
      <c r="R29" s="1" t="s">
        <v>352</v>
      </c>
      <c r="S29" s="1" t="n">
        <v>270</v>
      </c>
      <c r="T29" s="1" t="n">
        <v>20</v>
      </c>
    </row>
    <row r="30" customFormat="false" ht="16.5" hidden="false" customHeight="true" outlineLevel="0" collapsed="false">
      <c r="G30" s="100" t="n">
        <v>4</v>
      </c>
      <c r="H30" s="101" t="s">
        <v>157</v>
      </c>
      <c r="I30" s="94" t="s">
        <v>158</v>
      </c>
      <c r="J30" s="102" t="n">
        <v>3361.4</v>
      </c>
      <c r="L30" s="94" t="s">
        <v>353</v>
      </c>
      <c r="M30" s="103" t="s">
        <v>354</v>
      </c>
      <c r="N30" s="104" t="s">
        <v>337</v>
      </c>
      <c r="O30" s="105" t="s">
        <v>350</v>
      </c>
      <c r="P30" s="106" t="s">
        <v>355</v>
      </c>
      <c r="R30" s="1" t="s">
        <v>356</v>
      </c>
      <c r="S30" s="1" t="n">
        <v>75</v>
      </c>
      <c r="T30" s="1" t="n">
        <v>0</v>
      </c>
    </row>
    <row r="31" customFormat="false" ht="16.5" hidden="false" customHeight="true" outlineLevel="0" collapsed="false">
      <c r="G31" s="90" t="n">
        <v>5</v>
      </c>
      <c r="H31" s="91" t="s">
        <v>172</v>
      </c>
      <c r="I31" s="92" t="s">
        <v>173</v>
      </c>
      <c r="J31" s="93" t="n">
        <v>2713.6</v>
      </c>
      <c r="L31" s="94" t="s">
        <v>357</v>
      </c>
      <c r="M31" s="107" t="s">
        <v>337</v>
      </c>
      <c r="N31" s="104" t="s">
        <v>358</v>
      </c>
      <c r="O31" s="105" t="s">
        <v>350</v>
      </c>
      <c r="P31" s="106" t="s">
        <v>359</v>
      </c>
    </row>
    <row r="32" customFormat="false" ht="16.5" hidden="false" customHeight="true" outlineLevel="0" collapsed="false">
      <c r="G32" s="108" t="n">
        <v>6</v>
      </c>
      <c r="H32" s="109" t="s">
        <v>191</v>
      </c>
      <c r="I32" s="110" t="s">
        <v>192</v>
      </c>
      <c r="J32" s="111" t="n">
        <v>2440.8</v>
      </c>
      <c r="L32" s="94" t="s">
        <v>360</v>
      </c>
      <c r="M32" s="107" t="s">
        <v>361</v>
      </c>
      <c r="N32" s="104" t="s">
        <v>362</v>
      </c>
      <c r="O32" s="105" t="s">
        <v>350</v>
      </c>
      <c r="P32" s="106" t="s">
        <v>363</v>
      </c>
    </row>
    <row r="33" customFormat="false" ht="15.75" hidden="false" customHeight="true" outlineLevel="0" collapsed="false">
      <c r="G33" s="100" t="n">
        <v>7</v>
      </c>
      <c r="H33" s="101" t="s">
        <v>145</v>
      </c>
      <c r="I33" s="94" t="s">
        <v>146</v>
      </c>
      <c r="J33" s="102" t="n">
        <v>2400</v>
      </c>
    </row>
    <row r="34" customFormat="false" ht="15.75" hidden="false" customHeight="true" outlineLevel="0" collapsed="false">
      <c r="G34" s="108" t="n">
        <v>8</v>
      </c>
      <c r="H34" s="109" t="s">
        <v>210</v>
      </c>
      <c r="I34" s="110" t="s">
        <v>364</v>
      </c>
      <c r="J34" s="111" t="n">
        <v>2091.6</v>
      </c>
    </row>
    <row r="35" customFormat="false" ht="15.75" hidden="false" customHeight="true" outlineLevel="0" collapsed="false">
      <c r="G35" s="100" t="n">
        <v>9</v>
      </c>
      <c r="H35" s="101" t="s">
        <v>183</v>
      </c>
      <c r="I35" s="94" t="s">
        <v>184</v>
      </c>
      <c r="J35" s="102" t="n">
        <v>2082.2</v>
      </c>
    </row>
    <row r="36" customFormat="false" ht="15.75" hidden="false" customHeight="true" outlineLevel="0" collapsed="false">
      <c r="G36" s="90" t="n">
        <v>10</v>
      </c>
      <c r="H36" s="91" t="s">
        <v>243</v>
      </c>
      <c r="I36" s="92" t="s">
        <v>365</v>
      </c>
      <c r="J36" s="93" t="n">
        <v>2018.8</v>
      </c>
    </row>
    <row r="38" customFormat="false" ht="7.5" hidden="false" customHeight="true" outlineLevel="0" collapsed="false"/>
    <row r="39" customFormat="false" ht="19.5" hidden="false" customHeight="true" outlineLevel="0" collapsed="false">
      <c r="B39" s="112" t="s">
        <v>366</v>
      </c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</row>
    <row r="40" customFormat="false" ht="27.75" hidden="false" customHeight="true" outlineLevel="0" collapsed="false">
      <c r="B40" s="113" t="s">
        <v>2</v>
      </c>
      <c r="C40" s="113" t="s">
        <v>3</v>
      </c>
      <c r="D40" s="113" t="s">
        <v>4</v>
      </c>
      <c r="E40" s="113" t="s">
        <v>8</v>
      </c>
      <c r="F40" s="113" t="s">
        <v>367</v>
      </c>
      <c r="G40" s="113" t="s">
        <v>368</v>
      </c>
      <c r="H40" s="113" t="s">
        <v>9</v>
      </c>
      <c r="I40" s="113" t="s">
        <v>281</v>
      </c>
      <c r="J40" s="113" t="s">
        <v>282</v>
      </c>
      <c r="K40" s="113" t="s">
        <v>19</v>
      </c>
      <c r="L40" s="113" t="s">
        <v>288</v>
      </c>
      <c r="M40" s="113" t="s">
        <v>283</v>
      </c>
    </row>
    <row r="41" customFormat="false" ht="15.75" hidden="false" customHeight="true" outlineLevel="0" collapsed="false">
      <c r="B41" s="91" t="str">
        <f aca="false">Análisis!A9</f>
        <v>SKU-005</v>
      </c>
      <c r="C41" s="92" t="str">
        <f aca="false">Análisis!B9</f>
        <v>Harina 000 1kg</v>
      </c>
      <c r="D41" s="114" t="str">
        <f aca="false">Análisis!C9</f>
        <v>Alimentos Secos</v>
      </c>
      <c r="E41" s="114" t="n">
        <f aca="false">Análisis!D9</f>
        <v>24</v>
      </c>
      <c r="F41" s="115" t="n">
        <f aca="false">Análisis!E9</f>
        <v>374.833333333333</v>
      </c>
      <c r="G41" s="116" t="n">
        <f aca="false">Análisis!F9</f>
        <v>1.92085371276123</v>
      </c>
      <c r="H41" s="114" t="n">
        <f aca="false">Análisis!I9</f>
        <v>69</v>
      </c>
      <c r="I41" s="114" t="str">
        <f aca="false">Análisis!M9</f>
        <v>A</v>
      </c>
      <c r="J41" s="117" t="n">
        <f aca="false">Análisis!H9</f>
        <v>36</v>
      </c>
      <c r="K41" s="114" t="n">
        <f aca="false">Análisis!J9</f>
        <v>4</v>
      </c>
      <c r="L41" s="114" t="str">
        <f aca="false">Análisis!K9</f>
        <v>🔴 QUIEBRE</v>
      </c>
      <c r="M41" s="118" t="str">
        <f aca="false">Análisis!O9</f>
        <v>REPOSICIÓN URGENTE</v>
      </c>
    </row>
    <row r="42" customFormat="false" ht="15.75" hidden="false" customHeight="true" outlineLevel="0" collapsed="false">
      <c r="B42" s="91" t="str">
        <f aca="false">Análisis!A16</f>
        <v>SKU-012</v>
      </c>
      <c r="C42" s="92" t="str">
        <f aca="false">Análisis!B16</f>
        <v>Sal Fina 1kg</v>
      </c>
      <c r="D42" s="114" t="str">
        <f aca="false">Análisis!C16</f>
        <v>Alimentos Secos</v>
      </c>
      <c r="E42" s="114" t="n">
        <f aca="false">Análisis!D16</f>
        <v>88</v>
      </c>
      <c r="F42" s="115" t="n">
        <f aca="false">Análisis!E16</f>
        <v>406.666666666667</v>
      </c>
      <c r="G42" s="116" t="n">
        <f aca="false">Análisis!F16</f>
        <v>6.49180327868853</v>
      </c>
      <c r="H42" s="114" t="n">
        <f aca="false">Análisis!I16</f>
        <v>91</v>
      </c>
      <c r="I42" s="114" t="str">
        <f aca="false">Análisis!M16</f>
        <v>A</v>
      </c>
      <c r="J42" s="117" t="n">
        <f aca="false">Análisis!H16</f>
        <v>74.8</v>
      </c>
      <c r="K42" s="114" t="n">
        <f aca="false">Análisis!J16</f>
        <v>7</v>
      </c>
      <c r="L42" s="114" t="str">
        <f aca="false">Análisis!K16</f>
        <v>🔴 QUIEBRE</v>
      </c>
      <c r="M42" s="118" t="str">
        <f aca="false">Análisis!O16</f>
        <v>REPOSICIÓN URGENTE</v>
      </c>
    </row>
    <row r="43" customFormat="false" ht="15.75" hidden="false" customHeight="true" outlineLevel="0" collapsed="false">
      <c r="B43" s="91" t="str">
        <f aca="false">Análisis!A26</f>
        <v>SKU-022</v>
      </c>
      <c r="C43" s="92" t="str">
        <f aca="false">Análisis!B26</f>
        <v>Mayonesa 500g</v>
      </c>
      <c r="D43" s="114" t="str">
        <f aca="false">Análisis!C26</f>
        <v>Alimentos Secos</v>
      </c>
      <c r="E43" s="114" t="n">
        <f aca="false">Análisis!D26</f>
        <v>25</v>
      </c>
      <c r="F43" s="115" t="n">
        <f aca="false">Análisis!E26</f>
        <v>406.833333333333</v>
      </c>
      <c r="G43" s="116" t="n">
        <f aca="false">Análisis!F26</f>
        <v>1.84350675952479</v>
      </c>
      <c r="H43" s="114" t="n">
        <f aca="false">Análisis!I26</f>
        <v>105</v>
      </c>
      <c r="I43" s="114" t="str">
        <f aca="false">Análisis!M26</f>
        <v>A</v>
      </c>
      <c r="J43" s="117" t="n">
        <f aca="false">Análisis!H26</f>
        <v>85</v>
      </c>
      <c r="K43" s="114" t="n">
        <f aca="false">Análisis!J26</f>
        <v>2</v>
      </c>
      <c r="L43" s="114" t="str">
        <f aca="false">Análisis!K26</f>
        <v>🔴 QUIEBRE</v>
      </c>
      <c r="M43" s="118" t="str">
        <f aca="false">Análisis!O26</f>
        <v>REPOSICIÓN URGENTE</v>
      </c>
    </row>
    <row r="44" customFormat="false" ht="15.75" hidden="false" customHeight="true" outlineLevel="0" collapsed="false">
      <c r="B44" s="91" t="str">
        <f aca="false">Análisis!A48</f>
        <v>SKU-044</v>
      </c>
      <c r="C44" s="92" t="str">
        <f aca="false">Análisis!B48</f>
        <v>Papel Higiénico x4</v>
      </c>
      <c r="D44" s="114" t="str">
        <f aca="false">Análisis!C48</f>
        <v>Limpieza del Hogar</v>
      </c>
      <c r="E44" s="114" t="n">
        <f aca="false">Análisis!D48</f>
        <v>20</v>
      </c>
      <c r="F44" s="115" t="n">
        <f aca="false">Análisis!E48</f>
        <v>279.5</v>
      </c>
      <c r="G44" s="116" t="n">
        <f aca="false">Análisis!F48</f>
        <v>2.14669051878354</v>
      </c>
      <c r="H44" s="114" t="n">
        <f aca="false">Análisis!I48</f>
        <v>47</v>
      </c>
      <c r="I44" s="114" t="str">
        <f aca="false">Análisis!M48</f>
        <v>A</v>
      </c>
      <c r="J44" s="117" t="n">
        <f aca="false">Análisis!H48</f>
        <v>72</v>
      </c>
      <c r="K44" s="114" t="n">
        <f aca="false">Análisis!J48</f>
        <v>15</v>
      </c>
      <c r="L44" s="114" t="str">
        <f aca="false">Análisis!K48</f>
        <v>🔴 QUIEBRE</v>
      </c>
      <c r="M44" s="118" t="str">
        <f aca="false">Análisis!O48</f>
        <v>REPOSICIÓN URGENTE</v>
      </c>
    </row>
    <row r="45" customFormat="false" ht="15.75" hidden="false" customHeight="true" outlineLevel="0" collapsed="false">
      <c r="B45" s="91" t="str">
        <f aca="false">Análisis!A59</f>
        <v>SKU-055</v>
      </c>
      <c r="C45" s="92" t="str">
        <f aca="false">Análisis!B59</f>
        <v>Pasta Dental 90g</v>
      </c>
      <c r="D45" s="114" t="str">
        <f aca="false">Análisis!C59</f>
        <v>Higiene Personal</v>
      </c>
      <c r="E45" s="114" t="n">
        <f aca="false">Análisis!D59</f>
        <v>20</v>
      </c>
      <c r="F45" s="115" t="n">
        <f aca="false">Análisis!E59</f>
        <v>307.166666666667</v>
      </c>
      <c r="G45" s="116" t="n">
        <f aca="false">Análisis!F59</f>
        <v>1.95333695062398</v>
      </c>
      <c r="H45" s="114" t="n">
        <f aca="false">Análisis!I59</f>
        <v>77</v>
      </c>
      <c r="I45" s="114" t="str">
        <f aca="false">Análisis!M59</f>
        <v>A</v>
      </c>
      <c r="J45" s="117" t="n">
        <f aca="false">Análisis!H59</f>
        <v>48</v>
      </c>
      <c r="K45" s="114" t="n">
        <f aca="false">Análisis!J59</f>
        <v>21</v>
      </c>
      <c r="L45" s="114" t="str">
        <f aca="false">Análisis!K59</f>
        <v>🔴 QUIEBRE</v>
      </c>
      <c r="M45" s="118" t="str">
        <f aca="false">Análisis!O59</f>
        <v>REPOSICIÓN URGENTE</v>
      </c>
    </row>
    <row r="46" customFormat="false" ht="15.75" hidden="false" customHeight="true" outlineLevel="0" collapsed="false">
      <c r="B46" s="91" t="str">
        <f aca="false">Análisis!A71</f>
        <v>SKU-067</v>
      </c>
      <c r="C46" s="92" t="str">
        <f aca="false">Análisis!B71</f>
        <v>Afeitadora Descartable x5</v>
      </c>
      <c r="D46" s="114" t="str">
        <f aca="false">Análisis!C71</f>
        <v>Higiene Personal</v>
      </c>
      <c r="E46" s="114" t="n">
        <f aca="false">Análisis!D71</f>
        <v>32</v>
      </c>
      <c r="F46" s="115" t="n">
        <f aca="false">Análisis!E71</f>
        <v>190.5</v>
      </c>
      <c r="G46" s="116" t="n">
        <f aca="false">Análisis!F71</f>
        <v>5.03937007874016</v>
      </c>
      <c r="H46" s="114" t="n">
        <f aca="false">Análisis!I71</f>
        <v>51</v>
      </c>
      <c r="I46" s="114" t="str">
        <f aca="false">Análisis!M71</f>
        <v>A</v>
      </c>
      <c r="J46" s="117" t="n">
        <f aca="false">Análisis!H71</f>
        <v>153.6</v>
      </c>
      <c r="K46" s="114" t="n">
        <f aca="false">Análisis!J71</f>
        <v>8</v>
      </c>
      <c r="L46" s="114" t="str">
        <f aca="false">Análisis!K71</f>
        <v>🔴 QUIEBRE</v>
      </c>
      <c r="M46" s="118" t="str">
        <f aca="false">Análisis!O71</f>
        <v>REPOSICIÓN URGENTE</v>
      </c>
    </row>
    <row r="47" customFormat="false" ht="15.75" hidden="false" customHeight="true" outlineLevel="0" collapsed="false">
      <c r="B47" s="91" t="str">
        <f aca="false">Análisis!A77</f>
        <v>SKU-073</v>
      </c>
      <c r="C47" s="92" t="str">
        <f aca="false">Análisis!B77</f>
        <v>Loción After Shave 100ml</v>
      </c>
      <c r="D47" s="114" t="str">
        <f aca="false">Análisis!C77</f>
        <v>Higiene Personal</v>
      </c>
      <c r="E47" s="114" t="n">
        <f aca="false">Análisis!D77</f>
        <v>36</v>
      </c>
      <c r="F47" s="115" t="n">
        <f aca="false">Análisis!E77</f>
        <v>166</v>
      </c>
      <c r="G47" s="116" t="n">
        <f aca="false">Análisis!F77</f>
        <v>6.50602409638554</v>
      </c>
      <c r="H47" s="114" t="n">
        <f aca="false">Análisis!I77</f>
        <v>39</v>
      </c>
      <c r="I47" s="114" t="str">
        <f aca="false">Análisis!M77</f>
        <v>A</v>
      </c>
      <c r="J47" s="117" t="n">
        <f aca="false">Análisis!H77</f>
        <v>244.8</v>
      </c>
      <c r="K47" s="114" t="n">
        <f aca="false">Análisis!J77</f>
        <v>1</v>
      </c>
      <c r="L47" s="114" t="str">
        <f aca="false">Análisis!K77</f>
        <v>🔴 QUIEBRE</v>
      </c>
      <c r="M47" s="118" t="str">
        <f aca="false">Análisis!O77</f>
        <v>REPOSICIÓN URGENTE</v>
      </c>
    </row>
    <row r="50" customFormat="false" ht="18" hidden="false" customHeight="true" outlineLevel="0" collapsed="false">
      <c r="B50" s="119" t="s">
        <v>369</v>
      </c>
      <c r="C50" s="119"/>
      <c r="D50" s="119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</row>
  </sheetData>
  <mergeCells count="22">
    <mergeCell ref="B2:O2"/>
    <mergeCell ref="B3:O3"/>
    <mergeCell ref="B5:E5"/>
    <mergeCell ref="G5:J5"/>
    <mergeCell ref="L5:O5"/>
    <mergeCell ref="B6:E6"/>
    <mergeCell ref="G6:J6"/>
    <mergeCell ref="L6:O6"/>
    <mergeCell ref="B7:E7"/>
    <mergeCell ref="G7:J7"/>
    <mergeCell ref="L7:O7"/>
    <mergeCell ref="B8:E8"/>
    <mergeCell ref="G8:J8"/>
    <mergeCell ref="L8:O8"/>
    <mergeCell ref="B10:E10"/>
    <mergeCell ref="G10:J10"/>
    <mergeCell ref="L10:O10"/>
    <mergeCell ref="B25:E25"/>
    <mergeCell ref="G25:J25"/>
    <mergeCell ref="L25:O25"/>
    <mergeCell ref="B39:O39"/>
    <mergeCell ref="B50:O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2026-06-22T14:09:01Z</dcterms:created>
  <dc:creator>openpyxl</dc:creator>
  <dc:description/>
  <dc:language>en-US</dc:language>
  <cp:lastModifiedBy/>
  <dcterms:modified xsi:type="dcterms:W3CDTF">2026-06-22T14:28:02Z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